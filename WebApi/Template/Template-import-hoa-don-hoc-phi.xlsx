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ivt/Documents/"/>
    </mc:Choice>
  </mc:AlternateContent>
  <xr:revisionPtr revIDLastSave="0" documentId="13_ncr:1_{2477B80A-12C5-2644-96EA-776479410BE8}" xr6:coauthVersionLast="47" xr6:coauthVersionMax="47" xr10:uidLastSave="{00000000-0000-0000-0000-000000000000}"/>
  <bookViews>
    <workbookView xWindow="1080" yWindow="880" windowWidth="24240" windowHeight="13140" xr2:uid="{00000000-000D-0000-FFFF-FFFF00000000}"/>
  </bookViews>
  <sheets>
    <sheet name="Sheet1" sheetId="11" r:id="rId1"/>
    <sheet name="Lớp 5B" sheetId="10" state="hidden" r:id="rId2"/>
  </sheets>
  <definedNames>
    <definedName name="_xlnm._FilterDatabase" localSheetId="0" hidden="1">Sheet1!$A$1:$J$72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0" l="1"/>
  <c r="K38" i="10"/>
  <c r="K37" i="10"/>
  <c r="G36" i="10"/>
  <c r="K36" i="10" s="1"/>
  <c r="K35" i="10"/>
  <c r="K34" i="10"/>
  <c r="K33" i="10"/>
  <c r="G32" i="10"/>
  <c r="K32" i="10" s="1"/>
  <c r="K31" i="10"/>
  <c r="G30" i="10"/>
  <c r="K30" i="10" s="1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E5" i="10"/>
  <c r="K5" i="10" s="1"/>
  <c r="E4" i="10"/>
  <c r="K4" i="10" s="1"/>
  <c r="E3" i="10"/>
  <c r="K3" i="10" s="1"/>
  <c r="E2" i="10"/>
  <c r="K2" i="10" l="1"/>
</calcChain>
</file>

<file path=xl/sharedStrings.xml><?xml version="1.0" encoding="utf-8"?>
<sst xmlns="http://schemas.openxmlformats.org/spreadsheetml/2006/main" count="424" uniqueCount="272">
  <si>
    <t>Số TT</t>
  </si>
  <si>
    <t>Mã học sinh</t>
  </si>
  <si>
    <t>Họ và tên học sinh</t>
  </si>
  <si>
    <t>Học 2 buổi/ngày</t>
  </si>
  <si>
    <t>Tổng số tiền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</si>
  <si>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</si>
  <si>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</si>
  <si>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</si>
  <si>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</si>
  <si>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</si>
  <si>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</si>
  <si>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</si>
  <si>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</si>
  <si>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</si>
  <si>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</si>
  <si>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</si>
  <si>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</si>
  <si>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</si>
  <si>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</si>
  <si>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</si>
  <si>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</si>
  <si>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</si>
  <si>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</si>
  <si>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</si>
  <si>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</si>
  <si>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</si>
  <si>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</si>
  <si>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</si>
  <si>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</si>
  <si>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</si>
  <si>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</si>
  <si>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</si>
  <si>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</si>
  <si>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</si>
  <si>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</si>
  <si>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</si>
  <si>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</si>
  <si>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</si>
  <si>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</si>
  <si>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Nguyễn Minh Nhật</t>
  </si>
  <si>
    <t>Nguyễn Quang Minh</t>
  </si>
  <si>
    <t>35</t>
  </si>
  <si>
    <t>36</t>
  </si>
  <si>
    <t>37</t>
  </si>
  <si>
    <t>38</t>
  </si>
  <si>
    <t>7xyk2018</t>
  </si>
  <si>
    <t>Kiều Mỹ An</t>
  </si>
  <si>
    <t>8ekoxrl8</t>
  </si>
  <si>
    <t>Lâm Phương Anh</t>
  </si>
  <si>
    <t>HAN111300077</t>
  </si>
  <si>
    <t>Lộc Phan Bảo Anh</t>
  </si>
  <si>
    <t>HAN111300074</t>
  </si>
  <si>
    <t>Ngô Châm Anh</t>
  </si>
  <si>
    <t>8yy2jmv8</t>
  </si>
  <si>
    <t>Nguyễn Minh Anh</t>
  </si>
  <si>
    <t>7xyk25w8</t>
  </si>
  <si>
    <t>Tạ Nhật Anh</t>
  </si>
  <si>
    <t>6jmy5jk6</t>
  </si>
  <si>
    <t>Vũ Minh Anh</t>
  </si>
  <si>
    <t>8yy2jeg8</t>
  </si>
  <si>
    <t>Phạm Hoàng Ánh</t>
  </si>
  <si>
    <t>7m5omgz7</t>
  </si>
  <si>
    <t>Vũ Thành Dũng</t>
  </si>
  <si>
    <t>7rywz428</t>
  </si>
  <si>
    <t>Nguyễn Lê Hà</t>
  </si>
  <si>
    <t>652oozgo</t>
  </si>
  <si>
    <t>Nguyễn Hồng Hải</t>
  </si>
  <si>
    <t>81w4jw47</t>
  </si>
  <si>
    <t>Nguyễn Thị Kim Hoài</t>
  </si>
  <si>
    <t>7gjokwj7</t>
  </si>
  <si>
    <t>Lê Minh Hoàng</t>
  </si>
  <si>
    <t>7wyqk4d6</t>
  </si>
  <si>
    <t>Lê Quang Huy</t>
  </si>
  <si>
    <t>6pyow4d6</t>
  </si>
  <si>
    <t>Nguyễn Gia Huy</t>
  </si>
  <si>
    <t>8yy2jyg8</t>
  </si>
  <si>
    <t>Nguyễn Phúc Hưng</t>
  </si>
  <si>
    <t>7wyqk9d6</t>
  </si>
  <si>
    <t>Trương Ngọc Bảo Hưng</t>
  </si>
  <si>
    <t>834ndne6</t>
  </si>
  <si>
    <t>Nguyễn Ngọc Minh Khuê</t>
  </si>
  <si>
    <t>6l0o5n98</t>
  </si>
  <si>
    <t>Trần Tuệ Lâm</t>
  </si>
  <si>
    <t>HAN111300073</t>
  </si>
  <si>
    <t>Đặng Diệu Linh</t>
  </si>
  <si>
    <t>60wn21v6</t>
  </si>
  <si>
    <t>Đinh Khánh Linh</t>
  </si>
  <si>
    <t>HAN111300075</t>
  </si>
  <si>
    <t>Lương Hoàng Nhật Minh</t>
  </si>
  <si>
    <t>7oov5x47</t>
  </si>
  <si>
    <t>Ngô Khánh Minh</t>
  </si>
  <si>
    <t>7qyo5jg6</t>
  </si>
  <si>
    <t>6dq539p7</t>
  </si>
  <si>
    <t>Lê Phúc Nguyên</t>
  </si>
  <si>
    <t>8neo5zx8</t>
  </si>
  <si>
    <t>7xyk2yw8</t>
  </si>
  <si>
    <t>Nguyễn Minh Phát</t>
  </si>
  <si>
    <t>6pyowz16</t>
  </si>
  <si>
    <t>Nguyễn Thái Phong</t>
  </si>
  <si>
    <t>7qyo5y56</t>
  </si>
  <si>
    <t>Nguyễn Ngọc Quỳnh</t>
  </si>
  <si>
    <t>69y3jnv8</t>
  </si>
  <si>
    <t>Bùi Chiến Thắng</t>
  </si>
  <si>
    <t>7rywzoe8</t>
  </si>
  <si>
    <t>Trần Thủy Tiên</t>
  </si>
  <si>
    <t>60wn2jw6</t>
  </si>
  <si>
    <t>Nguyễn Khánh Toàn</t>
  </si>
  <si>
    <t>7m5om3z7</t>
  </si>
  <si>
    <t>Nguyễn Thu Trang</t>
  </si>
  <si>
    <t>7oov5k17</t>
  </si>
  <si>
    <t>Trần Bảo Trâm</t>
  </si>
  <si>
    <t>81w4jg47</t>
  </si>
  <si>
    <t>Nguyễn Khánh Vy</t>
  </si>
  <si>
    <t>7qyo5946</t>
  </si>
  <si>
    <t>Nguyễn Tường Vy</t>
  </si>
  <si>
    <t>6l0o5998</t>
  </si>
  <si>
    <t>Tạ Hà Vy</t>
  </si>
  <si>
    <t>HAN111300078</t>
  </si>
  <si>
    <t>Lê Tuấn Hoàng</t>
  </si>
  <si>
    <t xml:space="preserve">Chăm sóc bán trú </t>
  </si>
  <si>
    <t>Địa chỉ</t>
  </si>
  <si>
    <t>KCT</t>
  </si>
  <si>
    <t>Thuế suất</t>
  </si>
  <si>
    <t>Lớp 5B</t>
  </si>
  <si>
    <t>Nội dung thêm 1</t>
  </si>
  <si>
    <t>Nội dung thêm 2</t>
  </si>
  <si>
    <t>Hoạt động năng khiếu</t>
  </si>
  <si>
    <t>HAN111900003</t>
  </si>
  <si>
    <t>HAN111900004</t>
  </si>
  <si>
    <t>HAN111900005</t>
  </si>
  <si>
    <t>HAN111900006</t>
  </si>
  <si>
    <t>HAN111900002</t>
  </si>
  <si>
    <t>HAN111900007</t>
  </si>
  <si>
    <t>HAN111900008</t>
  </si>
  <si>
    <t>HAN111900015</t>
  </si>
  <si>
    <t>HAN111900016</t>
  </si>
  <si>
    <t>HAN111900009</t>
  </si>
  <si>
    <t>HAN111900010</t>
  </si>
  <si>
    <t>HAN111900013</t>
  </si>
  <si>
    <t>HAN111900011</t>
  </si>
  <si>
    <t>HAN111900012</t>
  </si>
  <si>
    <t>HAN111900014</t>
  </si>
  <si>
    <t>HAN111900017</t>
  </si>
  <si>
    <t>HAN111900018</t>
  </si>
  <si>
    <t>HAN111900019</t>
  </si>
  <si>
    <t>HAN111900020</t>
  </si>
  <si>
    <t>HAN111900021</t>
  </si>
  <si>
    <t>HAN111900022</t>
  </si>
  <si>
    <t>HAN111900024</t>
  </si>
  <si>
    <t>HAN111900025</t>
  </si>
  <si>
    <t>HAN111900026</t>
  </si>
  <si>
    <t>HAN111900027</t>
  </si>
  <si>
    <t>HAN111900028</t>
  </si>
  <si>
    <t>HAN111900029</t>
  </si>
  <si>
    <t>HAN111900030</t>
  </si>
  <si>
    <t>HAN111900032</t>
  </si>
  <si>
    <t>HAN111900033</t>
  </si>
  <si>
    <t>HAN111900034</t>
  </si>
  <si>
    <t>HAN111900035</t>
  </si>
  <si>
    <t>Đinh Đạt An</t>
  </si>
  <si>
    <t>Hoàng Thái An</t>
  </si>
  <si>
    <t>Nguyễn Đào Linh Anh</t>
  </si>
  <si>
    <t>Phạm Văn Hoàng Bách</t>
  </si>
  <si>
    <t>Đoàn Bảo Châu</t>
  </si>
  <si>
    <t>Lê Hải Chi</t>
  </si>
  <si>
    <t>Phạm An Chi</t>
  </si>
  <si>
    <t>Phùng Xuân Quốc Cường</t>
  </si>
  <si>
    <t>Trần Trí Dũng</t>
  </si>
  <si>
    <t>Đặng Thùy Dương</t>
  </si>
  <si>
    <t>Nguyễn Khánh Đan</t>
  </si>
  <si>
    <t>Singh Amrit Mộc Đan</t>
  </si>
  <si>
    <t>Lâm Tuấn Đạt</t>
  </si>
  <si>
    <t>Đới Minh Đăng</t>
  </si>
  <si>
    <t>Trần Hải Đăng</t>
  </si>
  <si>
    <t>Phạm Ngô Trung Đức</t>
  </si>
  <si>
    <t>Phạm Minh Khang</t>
  </si>
  <si>
    <t>Nguyễn Minh Khôi</t>
  </si>
  <si>
    <t>Vũ Hoàng Kim</t>
  </si>
  <si>
    <t>Nghiêm Huy Long</t>
  </si>
  <si>
    <t>Đặng Bảo Nam</t>
  </si>
  <si>
    <t>Phan Kim Ngân</t>
  </si>
  <si>
    <t>Đồng Thảo Nhi</t>
  </si>
  <si>
    <t>Trần Thảo Nhi</t>
  </si>
  <si>
    <t>Lưu Hồng Phong</t>
  </si>
  <si>
    <t>Trần Thanh Phong</t>
  </si>
  <si>
    <t>Nguyễn Đức Phúc</t>
  </si>
  <si>
    <t>Cung Ngọc Minh Tâm</t>
  </si>
  <si>
    <t>Phạm Minh Thiện</t>
  </si>
  <si>
    <t>Nguyễn Lâm Tùng</t>
  </si>
  <si>
    <t>Nguyễn Tố Uyên</t>
  </si>
  <si>
    <t>Vương Uyên</t>
  </si>
  <si>
    <t>Dương Phạm Bảo Yến</t>
  </si>
  <si>
    <t>1A1</t>
  </si>
  <si>
    <t xml:space="preserve">Kỹ năng sống </t>
  </si>
  <si>
    <t>HAN111900036</t>
  </si>
  <si>
    <t>HAN111900038</t>
  </si>
  <si>
    <t>HAN111900039</t>
  </si>
  <si>
    <t>HAN111900041</t>
  </si>
  <si>
    <t>HAN111900042</t>
  </si>
  <si>
    <t>HAN111900044</t>
  </si>
  <si>
    <t>HAN111900045</t>
  </si>
  <si>
    <t>HAN111900040</t>
  </si>
  <si>
    <t>HAN111900046</t>
  </si>
  <si>
    <t>HAN111900037</t>
  </si>
  <si>
    <t>HAN111900047</t>
  </si>
  <si>
    <t>HAN111900048</t>
  </si>
  <si>
    <t>HAN111900051</t>
  </si>
  <si>
    <t>HAN111900052</t>
  </si>
  <si>
    <t>HAN111900049</t>
  </si>
  <si>
    <t>HAN111900050</t>
  </si>
  <si>
    <t>HAN111900053</t>
  </si>
  <si>
    <t>HAN111900054</t>
  </si>
  <si>
    <t>HAN111900055</t>
  </si>
  <si>
    <t>HAN111900056</t>
  </si>
  <si>
    <t>HAN111900057</t>
  </si>
  <si>
    <t>HAN111900058</t>
  </si>
  <si>
    <t>HAN111900059</t>
  </si>
  <si>
    <t>HAN111900060</t>
  </si>
  <si>
    <t>HAN111900061</t>
  </si>
  <si>
    <t>HAN111900062</t>
  </si>
  <si>
    <t>HAN111900063</t>
  </si>
  <si>
    <t>HAN111900065</t>
  </si>
  <si>
    <t>HAN111900066</t>
  </si>
  <si>
    <t>HAN111900067</t>
  </si>
  <si>
    <t>HAN111900068</t>
  </si>
  <si>
    <t>HAN111900069</t>
  </si>
  <si>
    <t>HAN111900150</t>
  </si>
  <si>
    <t>Bùi Thúy An</t>
  </si>
  <si>
    <t>Trần Khánh An</t>
  </si>
  <si>
    <t>Trần Nguyễn Khánh An</t>
  </si>
  <si>
    <t>Hà Tuệ Anh</t>
  </si>
  <si>
    <t>Nguyễn Đức Anh</t>
  </si>
  <si>
    <t>Nguyễn Hà Anh</t>
  </si>
  <si>
    <t>Nguyễn Trâm Anh</t>
  </si>
  <si>
    <t>Trịnh Ngọc Thiên Ân</t>
  </si>
  <si>
    <t>Lý Minh Bảo</t>
  </si>
  <si>
    <t>Nguyễn Gia Bảo</t>
  </si>
  <si>
    <t>Trần Trọng Gia Bảo</t>
  </si>
  <si>
    <t>Trần Minh Châu</t>
  </si>
  <si>
    <t>Lê Khang Duy</t>
  </si>
  <si>
    <t>Nguyễn Ngọc Bảo Duyên</t>
  </si>
  <si>
    <t>Đặng Tiến Đạt</t>
  </si>
  <si>
    <t>Bùi Minh Đức</t>
  </si>
  <si>
    <t>Nguyễn Minh Hằng</t>
  </si>
  <si>
    <t>Bùi Hoàng Hiếu</t>
  </si>
  <si>
    <t>Phạm Gia Hiếu</t>
  </si>
  <si>
    <t>Đào Gia Anh Kiệt</t>
  </si>
  <si>
    <t>Lê Hoàng Tuệ Linh</t>
  </si>
  <si>
    <t>Nguyễn Phương Linh</t>
  </si>
  <si>
    <t>Nguyễn Tuệ Minh</t>
  </si>
  <si>
    <t>Phạm Ngọc Nam</t>
  </si>
  <si>
    <t>Quách Tuệ Nhi</t>
  </si>
  <si>
    <t>Trần Nguyên Ninh</t>
  </si>
  <si>
    <t>Lê An Phong</t>
  </si>
  <si>
    <t>Đỗ Ngọc Thái</t>
  </si>
  <si>
    <t>Đào Minh Tú</t>
  </si>
  <si>
    <t>Nguyễn Đình Tuấn Tú</t>
  </si>
  <si>
    <t>Giáp Ngọc Tuệ Uyên</t>
  </si>
  <si>
    <t>Mai Nhã Uyên</t>
  </si>
  <si>
    <t>Lê Quang Minh</t>
  </si>
  <si>
    <t>1A2</t>
  </si>
  <si>
    <t>HAN111900070</t>
  </si>
  <si>
    <t>HAN111900071</t>
  </si>
  <si>
    <t>HAN111900072</t>
  </si>
  <si>
    <t>HAN111900073</t>
  </si>
  <si>
    <t>HAN111900074</t>
  </si>
  <si>
    <t>Nguyễn Thế Anh</t>
  </si>
  <si>
    <t>Phạm Phương Anh</t>
  </si>
  <si>
    <t>Vũ Bảo Anh</t>
  </si>
  <si>
    <t>Lê Xuân Bách</t>
  </si>
  <si>
    <t>Kiều Duy Bảo</t>
  </si>
  <si>
    <t>1A3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</si>
</sst>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&quot; &quot;#,##0;\(&quot; &quot;#,##0\);"/>
    <numFmt numFmtId="166" formatCode="_-* #,##0\ _₫_-;\-* #,##0\ _₫_-;_-* &quot;-&quot;??\ _₫_-;_-@_-"/>
  </numFmts>
  <fonts count="7" x14ac:knownFonts="1">
    <font>
      <sz val="10"/>
      <color rgb="FF000000"/>
      <name val="Arial"/>
      <charset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Microsoft Sans Serif"/>
      <family val="2"/>
    </font>
    <font>
      <sz val="10"/>
      <color rgb="FF000000"/>
      <name val="Times New Roman"/>
      <family val="1"/>
    </font>
    <font>
      <sz val="8"/>
      <color rgb="FF000000"/>
      <name val="Microsoft Sans Serif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166" fontId="4" fillId="0" borderId="3" xfId="1" applyNumberFormat="1" applyFont="1" applyBorder="1" applyAlignment="1">
      <alignment horizontal="left"/>
    </xf>
    <xf numFmtId="166" fontId="1" fillId="0" borderId="3" xfId="1" applyNumberFormat="1" applyFont="1" applyBorder="1" applyAlignment="1">
      <alignment horizontal="left"/>
    </xf>
    <xf numFmtId="166" fontId="1" fillId="0" borderId="3" xfId="1" applyNumberFormat="1" applyFont="1" applyBorder="1" applyAlignment="1">
      <alignment horizontal="center"/>
    </xf>
    <xf numFmtId="166" fontId="4" fillId="0" borderId="3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32BF-0158-414C-BE28-81B8E8E04976}">
  <dimension ref="A1:J72"/>
  <sheetViews>
    <sheetView tabSelected="1" topLeftCell="A57" workbookViewId="0">
      <selection activeCell="F71" sqref="F71"/>
    </sheetView>
  </sheetViews>
  <sheetFormatPr baseColWidth="10" defaultColWidth="9.1640625" defaultRowHeight="13" x14ac:dyDescent="0.15"/>
  <cols>
    <col min="1" max="1" width="9.33203125" style="13" bestFit="1" customWidth="1"/>
    <col min="2" max="2" width="14" style="8" bestFit="1" customWidth="1"/>
    <col min="3" max="3" width="23.6640625" style="8" bestFit="1" customWidth="1"/>
    <col min="4" max="4" width="9.1640625" style="8"/>
    <col min="5" max="5" width="15" style="8" bestFit="1" customWidth="1"/>
    <col min="6" max="6" width="16" style="8" bestFit="1" customWidth="1"/>
    <col min="7" max="7" width="19.5" style="8" bestFit="1" customWidth="1"/>
    <col min="8" max="8" width="13.5" style="8" bestFit="1" customWidth="1"/>
    <col min="9" max="9" width="14.83203125" style="8" bestFit="1" customWidth="1"/>
    <col min="10" max="10" width="11.33203125" style="8" bestFit="1" customWidth="1"/>
    <col min="11" max="16384" width="9.1640625" style="8"/>
  </cols>
  <sheetData>
    <row r="1" spans="1:10" x14ac:dyDescent="0.15">
      <c r="A1" s="11" t="s">
        <v>0</v>
      </c>
      <c r="B1" s="10" t="s">
        <v>1</v>
      </c>
      <c r="C1" s="10" t="s">
        <v>2</v>
      </c>
      <c r="D1" s="10" t="s">
        <v>120</v>
      </c>
      <c r="E1" s="10" t="s">
        <v>3</v>
      </c>
      <c r="F1" s="10" t="s">
        <v>119</v>
      </c>
      <c r="G1" s="10" t="s">
        <v>126</v>
      </c>
      <c r="H1" s="10" t="s">
        <v>193</v>
      </c>
      <c r="I1" s="10" t="s">
        <v>125</v>
      </c>
      <c r="J1" s="10" t="s">
        <v>4</v>
      </c>
    </row>
    <row r="2" spans="1:10" x14ac:dyDescent="0.15">
      <c r="A2" s="12">
        <v>1</v>
      </c>
      <c r="B2" s="9" t="s">
        <v>127</v>
      </c>
      <c r="C2" s="9" t="s">
        <v>159</v>
      </c>
      <c r="D2" s="9" t="s">
        <v>192</v>
      </c>
      <c r="E2" s="9">
        <v>100000</v>
      </c>
      <c r="F2" s="9">
        <v>150000</v>
      </c>
      <c r="G2" s="9"/>
      <c r="H2" s="9"/>
      <c r="I2" s="9"/>
      <c r="J2" s="9">
        <v>250000</v>
      </c>
    </row>
    <row r="3" spans="1:10" x14ac:dyDescent="0.15">
      <c r="A3" s="12">
        <v>2</v>
      </c>
      <c r="B3" s="9" t="s">
        <v>127</v>
      </c>
      <c r="C3" s="9" t="s">
        <v>160</v>
      </c>
      <c r="D3" s="9" t="s">
        <v>192</v>
      </c>
      <c r="E3" s="9">
        <v>100000</v>
      </c>
      <c r="F3" s="9">
        <v>150000</v>
      </c>
      <c r="G3" s="9"/>
      <c r="H3" s="9">
        <v>55000</v>
      </c>
      <c r="I3" s="9"/>
      <c r="J3" s="9">
        <v>305000</v>
      </c>
    </row>
    <row r="4" spans="1:10" x14ac:dyDescent="0.15">
      <c r="A4" s="12">
        <v>3</v>
      </c>
      <c r="B4" s="9" t="s">
        <v>128</v>
      </c>
      <c r="C4" s="9" t="s">
        <v>161</v>
      </c>
      <c r="D4" s="9" t="s">
        <v>192</v>
      </c>
      <c r="E4" s="9">
        <v>100000</v>
      </c>
      <c r="F4" s="9">
        <v>150000</v>
      </c>
      <c r="G4" s="9"/>
      <c r="H4" s="9">
        <v>55000</v>
      </c>
      <c r="I4" s="9"/>
      <c r="J4" s="9">
        <v>305000</v>
      </c>
    </row>
    <row r="5" spans="1:10" x14ac:dyDescent="0.15">
      <c r="A5" s="12">
        <v>4</v>
      </c>
      <c r="B5" s="9" t="s">
        <v>129</v>
      </c>
      <c r="C5" s="9" t="s">
        <v>162</v>
      </c>
      <c r="D5" s="9" t="s">
        <v>192</v>
      </c>
      <c r="E5" s="9">
        <v>100000</v>
      </c>
      <c r="F5" s="9">
        <v>150000</v>
      </c>
      <c r="G5" s="9"/>
      <c r="H5" s="9">
        <v>55000</v>
      </c>
      <c r="I5" s="9"/>
      <c r="J5" s="9">
        <v>305000</v>
      </c>
    </row>
    <row r="6" spans="1:10" x14ac:dyDescent="0.15">
      <c r="A6" s="12">
        <v>5</v>
      </c>
      <c r="B6" s="9" t="s">
        <v>130</v>
      </c>
      <c r="C6" s="9" t="s">
        <v>163</v>
      </c>
      <c r="D6" s="9" t="s">
        <v>192</v>
      </c>
      <c r="E6" s="9">
        <v>100000</v>
      </c>
      <c r="F6" s="9">
        <v>150000</v>
      </c>
      <c r="G6" s="9"/>
      <c r="H6" s="9">
        <v>55000</v>
      </c>
      <c r="I6" s="9"/>
      <c r="J6" s="9">
        <v>305000</v>
      </c>
    </row>
    <row r="7" spans="1:10" x14ac:dyDescent="0.15">
      <c r="A7" s="12">
        <v>6</v>
      </c>
      <c r="B7" s="9" t="s">
        <v>131</v>
      </c>
      <c r="C7" s="9" t="s">
        <v>164</v>
      </c>
      <c r="D7" s="9" t="s">
        <v>192</v>
      </c>
      <c r="E7" s="9">
        <v>100000</v>
      </c>
      <c r="F7" s="9">
        <v>150000</v>
      </c>
      <c r="G7" s="9"/>
      <c r="H7" s="9">
        <v>55000</v>
      </c>
      <c r="I7" s="9"/>
      <c r="J7" s="9">
        <v>305000</v>
      </c>
    </row>
    <row r="8" spans="1:10" x14ac:dyDescent="0.15">
      <c r="A8" s="12">
        <v>7</v>
      </c>
      <c r="B8" s="9" t="s">
        <v>132</v>
      </c>
      <c r="C8" s="9" t="s">
        <v>165</v>
      </c>
      <c r="D8" s="9" t="s">
        <v>192</v>
      </c>
      <c r="E8" s="9">
        <v>100000</v>
      </c>
      <c r="F8" s="9">
        <v>150000</v>
      </c>
      <c r="G8" s="9"/>
      <c r="H8" s="9">
        <v>55000</v>
      </c>
      <c r="I8" s="9"/>
      <c r="J8" s="9">
        <v>305000</v>
      </c>
    </row>
    <row r="9" spans="1:10" x14ac:dyDescent="0.15">
      <c r="A9" s="12">
        <v>8</v>
      </c>
      <c r="B9" s="9" t="s">
        <v>133</v>
      </c>
      <c r="C9" s="9" t="s">
        <v>166</v>
      </c>
      <c r="D9" s="9" t="s">
        <v>192</v>
      </c>
      <c r="E9" s="9">
        <v>100000</v>
      </c>
      <c r="F9" s="9">
        <v>150000</v>
      </c>
      <c r="G9" s="9"/>
      <c r="H9" s="9">
        <v>55000</v>
      </c>
      <c r="I9" s="9"/>
      <c r="J9" s="9">
        <v>305000</v>
      </c>
    </row>
    <row r="10" spans="1:10" x14ac:dyDescent="0.15">
      <c r="A10" s="12">
        <v>9</v>
      </c>
      <c r="B10" s="9" t="s">
        <v>134</v>
      </c>
      <c r="C10" s="9" t="s">
        <v>167</v>
      </c>
      <c r="D10" s="9" t="s">
        <v>192</v>
      </c>
      <c r="E10" s="9"/>
      <c r="F10" s="9">
        <v>150000</v>
      </c>
      <c r="G10" s="9"/>
      <c r="H10" s="9"/>
      <c r="I10" s="9"/>
      <c r="J10" s="9">
        <v>150000</v>
      </c>
    </row>
    <row r="11" spans="1:10" x14ac:dyDescent="0.15">
      <c r="A11" s="12">
        <v>10</v>
      </c>
      <c r="B11" s="9" t="s">
        <v>135</v>
      </c>
      <c r="C11" s="9" t="s">
        <v>168</v>
      </c>
      <c r="D11" s="9" t="s">
        <v>192</v>
      </c>
      <c r="E11" s="9">
        <v>100000</v>
      </c>
      <c r="F11" s="9">
        <v>150000</v>
      </c>
      <c r="G11" s="9"/>
      <c r="H11" s="9">
        <v>55000</v>
      </c>
      <c r="I11" s="9"/>
      <c r="J11" s="9">
        <v>305000</v>
      </c>
    </row>
    <row r="12" spans="1:10" x14ac:dyDescent="0.15">
      <c r="A12" s="12">
        <v>11</v>
      </c>
      <c r="B12" s="9" t="s">
        <v>136</v>
      </c>
      <c r="C12" s="9" t="s">
        <v>169</v>
      </c>
      <c r="D12" s="9" t="s">
        <v>192</v>
      </c>
      <c r="E12" s="9">
        <v>100000</v>
      </c>
      <c r="F12" s="9">
        <v>150000</v>
      </c>
      <c r="G12" s="9"/>
      <c r="H12" s="9">
        <v>55000</v>
      </c>
      <c r="I12" s="9"/>
      <c r="J12" s="9">
        <v>305000</v>
      </c>
    </row>
    <row r="13" spans="1:10" x14ac:dyDescent="0.15">
      <c r="A13" s="12">
        <v>12</v>
      </c>
      <c r="B13" s="9" t="s">
        <v>137</v>
      </c>
      <c r="C13" s="9" t="s">
        <v>170</v>
      </c>
      <c r="D13" s="9" t="s">
        <v>192</v>
      </c>
      <c r="E13" s="9">
        <v>100000</v>
      </c>
      <c r="F13" s="9">
        <v>150000</v>
      </c>
      <c r="G13" s="9"/>
      <c r="H13" s="9">
        <v>55000</v>
      </c>
      <c r="I13" s="9"/>
      <c r="J13" s="9">
        <v>305000</v>
      </c>
    </row>
    <row r="14" spans="1:10" x14ac:dyDescent="0.15">
      <c r="A14" s="12">
        <v>13</v>
      </c>
      <c r="B14" s="9" t="s">
        <v>138</v>
      </c>
      <c r="C14" s="9" t="s">
        <v>171</v>
      </c>
      <c r="D14" s="9" t="s">
        <v>192</v>
      </c>
      <c r="E14" s="9">
        <v>100000</v>
      </c>
      <c r="F14" s="9">
        <v>150000</v>
      </c>
      <c r="G14" s="9"/>
      <c r="H14" s="9">
        <v>55000</v>
      </c>
      <c r="I14" s="9"/>
      <c r="J14" s="9">
        <v>305000</v>
      </c>
    </row>
    <row r="15" spans="1:10" x14ac:dyDescent="0.15">
      <c r="A15" s="12">
        <v>14</v>
      </c>
      <c r="B15" s="9" t="s">
        <v>139</v>
      </c>
      <c r="C15" s="9" t="s">
        <v>172</v>
      </c>
      <c r="D15" s="9" t="s">
        <v>192</v>
      </c>
      <c r="E15" s="9">
        <v>100000</v>
      </c>
      <c r="F15" s="9">
        <v>150000</v>
      </c>
      <c r="G15" s="9"/>
      <c r="H15" s="9">
        <v>55000</v>
      </c>
      <c r="I15" s="9"/>
      <c r="J15" s="9">
        <v>305000</v>
      </c>
    </row>
    <row r="16" spans="1:10" x14ac:dyDescent="0.15">
      <c r="A16" s="12">
        <v>15</v>
      </c>
      <c r="B16" s="9" t="s">
        <v>140</v>
      </c>
      <c r="C16" s="9" t="s">
        <v>173</v>
      </c>
      <c r="D16" s="9" t="s">
        <v>192</v>
      </c>
      <c r="E16" s="9">
        <v>100000</v>
      </c>
      <c r="F16" s="9">
        <v>150000</v>
      </c>
      <c r="G16" s="9"/>
      <c r="H16" s="9">
        <v>55000</v>
      </c>
      <c r="I16" s="9"/>
      <c r="J16" s="9">
        <v>305000</v>
      </c>
    </row>
    <row r="17" spans="1:10" x14ac:dyDescent="0.15">
      <c r="A17" s="12">
        <v>16</v>
      </c>
      <c r="B17" s="9" t="s">
        <v>141</v>
      </c>
      <c r="C17" s="9" t="s">
        <v>174</v>
      </c>
      <c r="D17" s="9" t="s">
        <v>192</v>
      </c>
      <c r="E17" s="9">
        <v>100000</v>
      </c>
      <c r="F17" s="9">
        <v>150000</v>
      </c>
      <c r="G17" s="9"/>
      <c r="H17" s="9">
        <v>55000</v>
      </c>
      <c r="I17" s="9"/>
      <c r="J17" s="9">
        <v>305000</v>
      </c>
    </row>
    <row r="18" spans="1:10" x14ac:dyDescent="0.15">
      <c r="A18" s="12">
        <v>17</v>
      </c>
      <c r="B18" s="9" t="s">
        <v>142</v>
      </c>
      <c r="C18" s="9" t="s">
        <v>175</v>
      </c>
      <c r="D18" s="9" t="s">
        <v>192</v>
      </c>
      <c r="E18" s="9">
        <v>100000</v>
      </c>
      <c r="F18" s="9">
        <v>150000</v>
      </c>
      <c r="G18" s="9"/>
      <c r="H18" s="9">
        <v>55000</v>
      </c>
      <c r="I18" s="9"/>
      <c r="J18" s="9">
        <v>305000</v>
      </c>
    </row>
    <row r="19" spans="1:10" x14ac:dyDescent="0.15">
      <c r="A19" s="12">
        <v>18</v>
      </c>
      <c r="B19" s="9" t="s">
        <v>143</v>
      </c>
      <c r="C19" s="9" t="s">
        <v>176</v>
      </c>
      <c r="D19" s="9" t="s">
        <v>192</v>
      </c>
      <c r="E19" s="9">
        <v>100000</v>
      </c>
      <c r="F19" s="9"/>
      <c r="G19" s="9"/>
      <c r="H19" s="9">
        <v>55000</v>
      </c>
      <c r="I19" s="9"/>
      <c r="J19" s="9">
        <v>155000</v>
      </c>
    </row>
    <row r="20" spans="1:10" x14ac:dyDescent="0.15">
      <c r="A20" s="12">
        <v>19</v>
      </c>
      <c r="B20" s="9" t="s">
        <v>144</v>
      </c>
      <c r="C20" s="9" t="s">
        <v>177</v>
      </c>
      <c r="D20" s="9" t="s">
        <v>192</v>
      </c>
      <c r="E20" s="9">
        <v>100000</v>
      </c>
      <c r="F20" s="9">
        <v>150000</v>
      </c>
      <c r="G20" s="9"/>
      <c r="H20" s="9">
        <v>55000</v>
      </c>
      <c r="I20" s="9"/>
      <c r="J20" s="9">
        <v>305000</v>
      </c>
    </row>
    <row r="21" spans="1:10" x14ac:dyDescent="0.15">
      <c r="A21" s="12">
        <v>20</v>
      </c>
      <c r="B21" s="9" t="s">
        <v>145</v>
      </c>
      <c r="C21" s="9" t="s">
        <v>178</v>
      </c>
      <c r="D21" s="9" t="s">
        <v>192</v>
      </c>
      <c r="E21" s="9">
        <v>100000</v>
      </c>
      <c r="F21" s="9">
        <v>150000</v>
      </c>
      <c r="G21" s="9"/>
      <c r="H21" s="9">
        <v>55000</v>
      </c>
      <c r="I21" s="9"/>
      <c r="J21" s="9">
        <v>305000</v>
      </c>
    </row>
    <row r="22" spans="1:10" x14ac:dyDescent="0.15">
      <c r="A22" s="12">
        <v>21</v>
      </c>
      <c r="B22" s="9" t="s">
        <v>146</v>
      </c>
      <c r="C22" s="9" t="s">
        <v>179</v>
      </c>
      <c r="D22" s="9" t="s">
        <v>192</v>
      </c>
      <c r="E22" s="9">
        <v>100000</v>
      </c>
      <c r="F22" s="9">
        <v>150000</v>
      </c>
      <c r="G22" s="9"/>
      <c r="H22" s="9">
        <v>55000</v>
      </c>
      <c r="I22" s="9"/>
      <c r="J22" s="9">
        <v>305000</v>
      </c>
    </row>
    <row r="23" spans="1:10" x14ac:dyDescent="0.15">
      <c r="A23" s="12">
        <v>22</v>
      </c>
      <c r="B23" s="9" t="s">
        <v>147</v>
      </c>
      <c r="C23" s="9" t="s">
        <v>180</v>
      </c>
      <c r="D23" s="9" t="s">
        <v>192</v>
      </c>
      <c r="E23" s="9">
        <v>100000</v>
      </c>
      <c r="F23" s="9">
        <v>150000</v>
      </c>
      <c r="G23" s="9"/>
      <c r="H23" s="9">
        <v>55000</v>
      </c>
      <c r="I23" s="9"/>
      <c r="J23" s="9">
        <v>305000</v>
      </c>
    </row>
    <row r="24" spans="1:10" x14ac:dyDescent="0.15">
      <c r="A24" s="12">
        <v>23</v>
      </c>
      <c r="B24" s="9" t="s">
        <v>148</v>
      </c>
      <c r="C24" s="9" t="s">
        <v>181</v>
      </c>
      <c r="D24" s="9" t="s">
        <v>192</v>
      </c>
      <c r="E24" s="9">
        <v>100000</v>
      </c>
      <c r="F24" s="9">
        <v>150000</v>
      </c>
      <c r="G24" s="9"/>
      <c r="H24" s="9">
        <v>55000</v>
      </c>
      <c r="I24" s="9"/>
      <c r="J24" s="9">
        <v>305000</v>
      </c>
    </row>
    <row r="25" spans="1:10" x14ac:dyDescent="0.15">
      <c r="A25" s="12">
        <v>24</v>
      </c>
      <c r="B25" s="9" t="s">
        <v>149</v>
      </c>
      <c r="C25" s="9" t="s">
        <v>182</v>
      </c>
      <c r="D25" s="9" t="s">
        <v>192</v>
      </c>
      <c r="E25" s="9">
        <v>100000</v>
      </c>
      <c r="F25" s="9">
        <v>150000</v>
      </c>
      <c r="G25" s="9"/>
      <c r="H25" s="9">
        <v>55000</v>
      </c>
      <c r="I25" s="9"/>
      <c r="J25" s="9">
        <v>305000</v>
      </c>
    </row>
    <row r="26" spans="1:10" x14ac:dyDescent="0.15">
      <c r="A26" s="12">
        <v>25</v>
      </c>
      <c r="B26" s="9" t="s">
        <v>150</v>
      </c>
      <c r="C26" s="9" t="s">
        <v>183</v>
      </c>
      <c r="D26" s="9" t="s">
        <v>192</v>
      </c>
      <c r="E26" s="9">
        <v>100000</v>
      </c>
      <c r="F26" s="9">
        <v>150000</v>
      </c>
      <c r="G26" s="9"/>
      <c r="H26" s="9">
        <v>55000</v>
      </c>
      <c r="I26" s="9"/>
      <c r="J26" s="9">
        <v>305000</v>
      </c>
    </row>
    <row r="27" spans="1:10" x14ac:dyDescent="0.15">
      <c r="A27" s="12">
        <v>26</v>
      </c>
      <c r="B27" s="9" t="s">
        <v>151</v>
      </c>
      <c r="C27" s="9" t="s">
        <v>184</v>
      </c>
      <c r="D27" s="9" t="s">
        <v>192</v>
      </c>
      <c r="E27" s="9">
        <v>100000</v>
      </c>
      <c r="F27" s="9">
        <v>150000</v>
      </c>
      <c r="G27" s="9"/>
      <c r="H27" s="9">
        <v>55000</v>
      </c>
      <c r="I27" s="9"/>
      <c r="J27" s="9">
        <v>305000</v>
      </c>
    </row>
    <row r="28" spans="1:10" x14ac:dyDescent="0.15">
      <c r="A28" s="12">
        <v>27</v>
      </c>
      <c r="B28" s="9" t="s">
        <v>152</v>
      </c>
      <c r="C28" s="9" t="s">
        <v>185</v>
      </c>
      <c r="D28" s="9" t="s">
        <v>192</v>
      </c>
      <c r="E28" s="9">
        <v>100000</v>
      </c>
      <c r="F28" s="9">
        <v>150000</v>
      </c>
      <c r="G28" s="9"/>
      <c r="H28" s="9">
        <v>55000</v>
      </c>
      <c r="I28" s="9"/>
      <c r="J28" s="9">
        <v>305000</v>
      </c>
    </row>
    <row r="29" spans="1:10" x14ac:dyDescent="0.15">
      <c r="A29" s="12">
        <v>28</v>
      </c>
      <c r="B29" s="9" t="s">
        <v>153</v>
      </c>
      <c r="C29" s="9" t="s">
        <v>186</v>
      </c>
      <c r="D29" s="9" t="s">
        <v>192</v>
      </c>
      <c r="E29" s="9">
        <v>100000</v>
      </c>
      <c r="F29" s="9">
        <v>150000</v>
      </c>
      <c r="G29" s="9"/>
      <c r="H29" s="9">
        <v>55000</v>
      </c>
      <c r="I29" s="9"/>
      <c r="J29" s="9">
        <v>305000</v>
      </c>
    </row>
    <row r="30" spans="1:10" x14ac:dyDescent="0.15">
      <c r="A30" s="12">
        <v>29</v>
      </c>
      <c r="B30" s="9" t="s">
        <v>154</v>
      </c>
      <c r="C30" s="9" t="s">
        <v>187</v>
      </c>
      <c r="D30" s="9" t="s">
        <v>192</v>
      </c>
      <c r="E30" s="9">
        <v>100000</v>
      </c>
      <c r="F30" s="9">
        <v>150000</v>
      </c>
      <c r="G30" s="9"/>
      <c r="H30" s="9">
        <v>55000</v>
      </c>
      <c r="I30" s="9"/>
      <c r="J30" s="9">
        <v>305000</v>
      </c>
    </row>
    <row r="31" spans="1:10" x14ac:dyDescent="0.15">
      <c r="A31" s="12">
        <v>30</v>
      </c>
      <c r="B31" s="9" t="s">
        <v>155</v>
      </c>
      <c r="C31" s="9" t="s">
        <v>188</v>
      </c>
      <c r="D31" s="9" t="s">
        <v>192</v>
      </c>
      <c r="E31" s="9">
        <v>100000</v>
      </c>
      <c r="F31" s="9">
        <v>150000</v>
      </c>
      <c r="G31" s="9"/>
      <c r="H31" s="9">
        <v>55000</v>
      </c>
      <c r="I31" s="9"/>
      <c r="J31" s="9">
        <v>305000</v>
      </c>
    </row>
    <row r="32" spans="1:10" x14ac:dyDescent="0.15">
      <c r="A32" s="12">
        <v>31</v>
      </c>
      <c r="B32" s="9" t="s">
        <v>156</v>
      </c>
      <c r="C32" s="9" t="s">
        <v>189</v>
      </c>
      <c r="D32" s="9" t="s">
        <v>192</v>
      </c>
      <c r="E32" s="9">
        <v>100000</v>
      </c>
      <c r="F32" s="9">
        <v>150000</v>
      </c>
      <c r="G32" s="9"/>
      <c r="H32" s="9">
        <v>55000</v>
      </c>
      <c r="I32" s="9"/>
      <c r="J32" s="9">
        <v>305000</v>
      </c>
    </row>
    <row r="33" spans="1:10" x14ac:dyDescent="0.15">
      <c r="A33" s="12">
        <v>32</v>
      </c>
      <c r="B33" s="9" t="s">
        <v>157</v>
      </c>
      <c r="C33" s="9" t="s">
        <v>190</v>
      </c>
      <c r="D33" s="9" t="s">
        <v>192</v>
      </c>
      <c r="E33" s="9">
        <v>100000</v>
      </c>
      <c r="F33" s="9">
        <v>150000</v>
      </c>
      <c r="G33" s="9"/>
      <c r="H33" s="9">
        <v>55000</v>
      </c>
      <c r="I33" s="9"/>
      <c r="J33" s="9">
        <v>305000</v>
      </c>
    </row>
    <row r="34" spans="1:10" x14ac:dyDescent="0.15">
      <c r="A34" s="12">
        <v>33</v>
      </c>
      <c r="B34" s="9" t="s">
        <v>158</v>
      </c>
      <c r="C34" s="9" t="s">
        <v>191</v>
      </c>
      <c r="D34" s="9" t="s">
        <v>192</v>
      </c>
      <c r="E34" s="9">
        <v>100000</v>
      </c>
      <c r="F34" s="9">
        <v>150000</v>
      </c>
      <c r="G34" s="9"/>
      <c r="H34" s="9">
        <v>55000</v>
      </c>
      <c r="I34" s="9"/>
      <c r="J34" s="9">
        <v>305000</v>
      </c>
    </row>
    <row r="35" spans="1:10" x14ac:dyDescent="0.15">
      <c r="A35" s="12">
        <v>34</v>
      </c>
      <c r="B35" s="9" t="s">
        <v>194</v>
      </c>
      <c r="C35" s="9" t="s">
        <v>227</v>
      </c>
      <c r="D35" s="9" t="s">
        <v>260</v>
      </c>
      <c r="E35" s="9">
        <v>100000</v>
      </c>
      <c r="F35" s="9">
        <v>150000</v>
      </c>
      <c r="G35" s="9"/>
      <c r="H35" s="9">
        <v>55000</v>
      </c>
      <c r="I35" s="9"/>
      <c r="J35" s="9">
        <v>305000</v>
      </c>
    </row>
    <row r="36" spans="1:10" x14ac:dyDescent="0.15">
      <c r="A36" s="12">
        <v>35</v>
      </c>
      <c r="B36" s="9" t="s">
        <v>195</v>
      </c>
      <c r="C36" s="9" t="s">
        <v>228</v>
      </c>
      <c r="D36" s="9" t="s">
        <v>260</v>
      </c>
      <c r="E36" s="9">
        <v>100000</v>
      </c>
      <c r="F36" s="9">
        <v>150000</v>
      </c>
      <c r="G36" s="9"/>
      <c r="H36" s="9">
        <v>55000</v>
      </c>
      <c r="I36" s="9"/>
      <c r="J36" s="9">
        <v>305000</v>
      </c>
    </row>
    <row r="37" spans="1:10" x14ac:dyDescent="0.15">
      <c r="A37" s="12">
        <v>36</v>
      </c>
      <c r="B37" s="9" t="s">
        <v>196</v>
      </c>
      <c r="C37" s="9" t="s">
        <v>229</v>
      </c>
      <c r="D37" s="9" t="s">
        <v>260</v>
      </c>
      <c r="E37" s="9">
        <v>100000</v>
      </c>
      <c r="F37" s="9">
        <v>150000</v>
      </c>
      <c r="G37" s="9"/>
      <c r="H37" s="9">
        <v>55000</v>
      </c>
      <c r="I37" s="9"/>
      <c r="J37" s="9">
        <v>305000</v>
      </c>
    </row>
    <row r="38" spans="1:10" x14ac:dyDescent="0.15">
      <c r="A38" s="12">
        <v>37</v>
      </c>
      <c r="B38" s="9" t="s">
        <v>197</v>
      </c>
      <c r="C38" s="9" t="s">
        <v>230</v>
      </c>
      <c r="D38" s="9" t="s">
        <v>260</v>
      </c>
      <c r="E38" s="9">
        <v>100000</v>
      </c>
      <c r="F38" s="9">
        <v>150000</v>
      </c>
      <c r="G38" s="9"/>
      <c r="H38" s="9">
        <v>55000</v>
      </c>
      <c r="I38" s="9"/>
      <c r="J38" s="9">
        <v>305000</v>
      </c>
    </row>
    <row r="39" spans="1:10" x14ac:dyDescent="0.15">
      <c r="A39" s="12">
        <v>38</v>
      </c>
      <c r="B39" s="9" t="s">
        <v>198</v>
      </c>
      <c r="C39" s="9" t="s">
        <v>231</v>
      </c>
      <c r="D39" s="9" t="s">
        <v>260</v>
      </c>
      <c r="E39" s="9">
        <v>100000</v>
      </c>
      <c r="F39" s="9">
        <v>150000</v>
      </c>
      <c r="G39" s="9"/>
      <c r="H39" s="9">
        <v>55000</v>
      </c>
      <c r="I39" s="9"/>
      <c r="J39" s="9">
        <v>305000</v>
      </c>
    </row>
    <row r="40" spans="1:10" x14ac:dyDescent="0.15">
      <c r="A40" s="12">
        <v>39</v>
      </c>
      <c r="B40" s="9" t="s">
        <v>199</v>
      </c>
      <c r="C40" s="9" t="s">
        <v>232</v>
      </c>
      <c r="D40" s="9" t="s">
        <v>260</v>
      </c>
      <c r="E40" s="9">
        <v>100000</v>
      </c>
      <c r="F40" s="9">
        <v>150000</v>
      </c>
      <c r="G40" s="9"/>
      <c r="H40" s="9">
        <v>55000</v>
      </c>
      <c r="I40" s="9"/>
      <c r="J40" s="9">
        <v>305000</v>
      </c>
    </row>
    <row r="41" spans="1:10" x14ac:dyDescent="0.15">
      <c r="A41" s="12">
        <v>40</v>
      </c>
      <c r="B41" s="9" t="s">
        <v>200</v>
      </c>
      <c r="C41" s="9" t="s">
        <v>233</v>
      </c>
      <c r="D41" s="9" t="s">
        <v>260</v>
      </c>
      <c r="E41" s="9">
        <v>100000</v>
      </c>
      <c r="F41" s="9">
        <v>150000</v>
      </c>
      <c r="G41" s="9"/>
      <c r="H41" s="9">
        <v>55000</v>
      </c>
      <c r="I41" s="9"/>
      <c r="J41" s="9">
        <v>305000</v>
      </c>
    </row>
    <row r="42" spans="1:10" x14ac:dyDescent="0.15">
      <c r="A42" s="12">
        <v>41</v>
      </c>
      <c r="B42" s="9" t="s">
        <v>201</v>
      </c>
      <c r="C42" s="9" t="s">
        <v>234</v>
      </c>
      <c r="D42" s="9" t="s">
        <v>260</v>
      </c>
      <c r="E42" s="9">
        <v>100000</v>
      </c>
      <c r="F42" s="9">
        <v>150000</v>
      </c>
      <c r="G42" s="9"/>
      <c r="H42" s="9">
        <v>55000</v>
      </c>
      <c r="I42" s="9"/>
      <c r="J42" s="9">
        <v>305000</v>
      </c>
    </row>
    <row r="43" spans="1:10" x14ac:dyDescent="0.15">
      <c r="A43" s="12">
        <v>42</v>
      </c>
      <c r="B43" s="9" t="s">
        <v>202</v>
      </c>
      <c r="C43" s="9" t="s">
        <v>235</v>
      </c>
      <c r="D43" s="9" t="s">
        <v>260</v>
      </c>
      <c r="E43" s="9">
        <v>100000</v>
      </c>
      <c r="F43" s="9">
        <v>150000</v>
      </c>
      <c r="G43" s="9"/>
      <c r="H43" s="9">
        <v>55000</v>
      </c>
      <c r="I43" s="9"/>
      <c r="J43" s="9">
        <v>305000</v>
      </c>
    </row>
    <row r="44" spans="1:10" x14ac:dyDescent="0.15">
      <c r="A44" s="12">
        <v>43</v>
      </c>
      <c r="B44" s="9" t="s">
        <v>203</v>
      </c>
      <c r="C44" s="9" t="s">
        <v>236</v>
      </c>
      <c r="D44" s="9" t="s">
        <v>260</v>
      </c>
      <c r="E44" s="9">
        <v>100000</v>
      </c>
      <c r="F44" s="9">
        <v>150000</v>
      </c>
      <c r="G44" s="9"/>
      <c r="H44" s="9">
        <v>55000</v>
      </c>
      <c r="I44" s="9"/>
      <c r="J44" s="9">
        <v>305000</v>
      </c>
    </row>
    <row r="45" spans="1:10" x14ac:dyDescent="0.15">
      <c r="A45" s="12">
        <v>44</v>
      </c>
      <c r="B45" s="9" t="s">
        <v>204</v>
      </c>
      <c r="C45" s="9" t="s">
        <v>237</v>
      </c>
      <c r="D45" s="9" t="s">
        <v>260</v>
      </c>
      <c r="E45" s="9">
        <v>100000</v>
      </c>
      <c r="F45" s="9">
        <v>150000</v>
      </c>
      <c r="G45" s="9"/>
      <c r="H45" s="9">
        <v>55000</v>
      </c>
      <c r="I45" s="9"/>
      <c r="J45" s="9">
        <v>305000</v>
      </c>
    </row>
    <row r="46" spans="1:10" x14ac:dyDescent="0.15">
      <c r="A46" s="12">
        <v>45</v>
      </c>
      <c r="B46" s="9" t="s">
        <v>205</v>
      </c>
      <c r="C46" s="9" t="s">
        <v>238</v>
      </c>
      <c r="D46" s="9" t="s">
        <v>260</v>
      </c>
      <c r="E46" s="9">
        <v>100000</v>
      </c>
      <c r="F46" s="9">
        <v>150000</v>
      </c>
      <c r="G46" s="9"/>
      <c r="H46" s="9">
        <v>55000</v>
      </c>
      <c r="I46" s="9"/>
      <c r="J46" s="9">
        <v>305000</v>
      </c>
    </row>
    <row r="47" spans="1:10" x14ac:dyDescent="0.15">
      <c r="A47" s="12">
        <v>46</v>
      </c>
      <c r="B47" s="9" t="s">
        <v>206</v>
      </c>
      <c r="C47" s="9" t="s">
        <v>239</v>
      </c>
      <c r="D47" s="9" t="s">
        <v>260</v>
      </c>
      <c r="E47" s="9">
        <v>100000</v>
      </c>
      <c r="F47" s="9">
        <v>150000</v>
      </c>
      <c r="G47" s="9"/>
      <c r="H47" s="9">
        <v>55000</v>
      </c>
      <c r="I47" s="9"/>
      <c r="J47" s="9">
        <v>305000</v>
      </c>
    </row>
    <row r="48" spans="1:10" x14ac:dyDescent="0.15">
      <c r="A48" s="12">
        <v>47</v>
      </c>
      <c r="B48" s="9" t="s">
        <v>207</v>
      </c>
      <c r="C48" s="9" t="s">
        <v>240</v>
      </c>
      <c r="D48" s="9" t="s">
        <v>260</v>
      </c>
      <c r="E48" s="9">
        <v>100000</v>
      </c>
      <c r="F48" s="9">
        <v>150000</v>
      </c>
      <c r="G48" s="9"/>
      <c r="H48" s="9">
        <v>55000</v>
      </c>
      <c r="I48" s="9"/>
      <c r="J48" s="9">
        <v>305000</v>
      </c>
    </row>
    <row r="49" spans="1:10" x14ac:dyDescent="0.15">
      <c r="A49" s="12">
        <v>48</v>
      </c>
      <c r="B49" s="9" t="s">
        <v>208</v>
      </c>
      <c r="C49" s="9" t="s">
        <v>241</v>
      </c>
      <c r="D49" s="9" t="s">
        <v>260</v>
      </c>
      <c r="E49" s="9">
        <v>100000</v>
      </c>
      <c r="F49" s="9">
        <v>150000</v>
      </c>
      <c r="G49" s="9"/>
      <c r="H49" s="9">
        <v>55000</v>
      </c>
      <c r="I49" s="9"/>
      <c r="J49" s="9">
        <v>305000</v>
      </c>
    </row>
    <row r="50" spans="1:10" x14ac:dyDescent="0.15">
      <c r="A50" s="12">
        <v>49</v>
      </c>
      <c r="B50" s="9" t="s">
        <v>209</v>
      </c>
      <c r="C50" s="9" t="s">
        <v>242</v>
      </c>
      <c r="D50" s="9" t="s">
        <v>260</v>
      </c>
      <c r="E50" s="9">
        <v>100000</v>
      </c>
      <c r="F50" s="9">
        <v>150000</v>
      </c>
      <c r="G50" s="9"/>
      <c r="H50" s="9">
        <v>55000</v>
      </c>
      <c r="I50" s="9"/>
      <c r="J50" s="9">
        <v>305000</v>
      </c>
    </row>
    <row r="51" spans="1:10" x14ac:dyDescent="0.15">
      <c r="A51" s="12">
        <v>50</v>
      </c>
      <c r="B51" s="9" t="s">
        <v>210</v>
      </c>
      <c r="C51" s="9" t="s">
        <v>243</v>
      </c>
      <c r="D51" s="9" t="s">
        <v>260</v>
      </c>
      <c r="E51" s="9">
        <v>100000</v>
      </c>
      <c r="F51" s="9">
        <v>150000</v>
      </c>
      <c r="G51" s="9"/>
      <c r="H51" s="9">
        <v>55000</v>
      </c>
      <c r="I51" s="9"/>
      <c r="J51" s="9">
        <v>305000</v>
      </c>
    </row>
    <row r="52" spans="1:10" x14ac:dyDescent="0.15">
      <c r="A52" s="12">
        <v>51</v>
      </c>
      <c r="B52" s="9" t="s">
        <v>211</v>
      </c>
      <c r="C52" s="9" t="s">
        <v>244</v>
      </c>
      <c r="D52" s="9" t="s">
        <v>260</v>
      </c>
      <c r="E52" s="9">
        <v>100000</v>
      </c>
      <c r="F52" s="9">
        <v>150000</v>
      </c>
      <c r="G52" s="9"/>
      <c r="H52" s="9">
        <v>55000</v>
      </c>
      <c r="I52" s="9"/>
      <c r="J52" s="9">
        <v>305000</v>
      </c>
    </row>
    <row r="53" spans="1:10" x14ac:dyDescent="0.15">
      <c r="A53" s="12">
        <v>52</v>
      </c>
      <c r="B53" s="9" t="s">
        <v>212</v>
      </c>
      <c r="C53" s="9" t="s">
        <v>245</v>
      </c>
      <c r="D53" s="9" t="s">
        <v>260</v>
      </c>
      <c r="E53" s="9">
        <v>100000</v>
      </c>
      <c r="F53" s="9">
        <v>150000</v>
      </c>
      <c r="G53" s="9"/>
      <c r="H53" s="9">
        <v>55000</v>
      </c>
      <c r="I53" s="9"/>
      <c r="J53" s="9">
        <v>305000</v>
      </c>
    </row>
    <row r="54" spans="1:10" x14ac:dyDescent="0.15">
      <c r="A54" s="12">
        <v>53</v>
      </c>
      <c r="B54" s="9" t="s">
        <v>213</v>
      </c>
      <c r="C54" s="9" t="s">
        <v>246</v>
      </c>
      <c r="D54" s="9" t="s">
        <v>260</v>
      </c>
      <c r="E54" s="9">
        <v>100000</v>
      </c>
      <c r="F54" s="9">
        <v>150000</v>
      </c>
      <c r="G54" s="9"/>
      <c r="H54" s="9">
        <v>55000</v>
      </c>
      <c r="I54" s="9"/>
      <c r="J54" s="9">
        <v>305000</v>
      </c>
    </row>
    <row r="55" spans="1:10" x14ac:dyDescent="0.15">
      <c r="A55" s="12">
        <v>54</v>
      </c>
      <c r="B55" s="9" t="s">
        <v>214</v>
      </c>
      <c r="C55" s="9" t="s">
        <v>247</v>
      </c>
      <c r="D55" s="9" t="s">
        <v>260</v>
      </c>
      <c r="E55" s="9">
        <v>100000</v>
      </c>
      <c r="F55" s="9">
        <v>150000</v>
      </c>
      <c r="G55" s="9"/>
      <c r="H55" s="9">
        <v>55000</v>
      </c>
      <c r="I55" s="9"/>
      <c r="J55" s="9">
        <v>305000</v>
      </c>
    </row>
    <row r="56" spans="1:10" x14ac:dyDescent="0.15">
      <c r="A56" s="12">
        <v>55</v>
      </c>
      <c r="B56" s="9" t="s">
        <v>215</v>
      </c>
      <c r="C56" s="9" t="s">
        <v>248</v>
      </c>
      <c r="D56" s="9" t="s">
        <v>260</v>
      </c>
      <c r="E56" s="9">
        <v>100000</v>
      </c>
      <c r="F56" s="9">
        <v>150000</v>
      </c>
      <c r="G56" s="9"/>
      <c r="H56" s="9">
        <v>55000</v>
      </c>
      <c r="I56" s="9"/>
      <c r="J56" s="9">
        <v>305000</v>
      </c>
    </row>
    <row r="57" spans="1:10" x14ac:dyDescent="0.15">
      <c r="A57" s="12">
        <v>56</v>
      </c>
      <c r="B57" s="9" t="s">
        <v>216</v>
      </c>
      <c r="C57" s="9" t="s">
        <v>249</v>
      </c>
      <c r="D57" s="9" t="s">
        <v>260</v>
      </c>
      <c r="E57" s="9">
        <v>100000</v>
      </c>
      <c r="F57" s="9">
        <v>150000</v>
      </c>
      <c r="G57" s="9"/>
      <c r="H57" s="9">
        <v>55000</v>
      </c>
      <c r="I57" s="9"/>
      <c r="J57" s="9">
        <v>305000</v>
      </c>
    </row>
    <row r="58" spans="1:10" x14ac:dyDescent="0.15">
      <c r="A58" s="12">
        <v>57</v>
      </c>
      <c r="B58" s="9" t="s">
        <v>217</v>
      </c>
      <c r="C58" s="9" t="s">
        <v>250</v>
      </c>
      <c r="D58" s="9" t="s">
        <v>260</v>
      </c>
      <c r="E58" s="9">
        <v>100000</v>
      </c>
      <c r="F58" s="9">
        <v>150000</v>
      </c>
      <c r="G58" s="9"/>
      <c r="H58" s="9">
        <v>55000</v>
      </c>
      <c r="I58" s="9"/>
      <c r="J58" s="9">
        <v>305000</v>
      </c>
    </row>
    <row r="59" spans="1:10" x14ac:dyDescent="0.15">
      <c r="A59" s="12">
        <v>58</v>
      </c>
      <c r="B59" s="9" t="s">
        <v>218</v>
      </c>
      <c r="C59" s="9" t="s">
        <v>251</v>
      </c>
      <c r="D59" s="9" t="s">
        <v>260</v>
      </c>
      <c r="E59" s="9">
        <v>100000</v>
      </c>
      <c r="F59" s="9">
        <v>150000</v>
      </c>
      <c r="G59" s="9"/>
      <c r="H59" s="9">
        <v>55000</v>
      </c>
      <c r="I59" s="9"/>
      <c r="J59" s="9">
        <v>305000</v>
      </c>
    </row>
    <row r="60" spans="1:10" x14ac:dyDescent="0.15">
      <c r="A60" s="12">
        <v>59</v>
      </c>
      <c r="B60" s="9" t="s">
        <v>219</v>
      </c>
      <c r="C60" s="9" t="s">
        <v>252</v>
      </c>
      <c r="D60" s="9" t="s">
        <v>260</v>
      </c>
      <c r="E60" s="9">
        <v>100000</v>
      </c>
      <c r="F60" s="9">
        <v>150000</v>
      </c>
      <c r="G60" s="9"/>
      <c r="H60" s="9">
        <v>55000</v>
      </c>
      <c r="I60" s="9"/>
      <c r="J60" s="9">
        <v>305000</v>
      </c>
    </row>
    <row r="61" spans="1:10" x14ac:dyDescent="0.15">
      <c r="A61" s="12">
        <v>60</v>
      </c>
      <c r="B61" s="9" t="s">
        <v>220</v>
      </c>
      <c r="C61" s="9" t="s">
        <v>253</v>
      </c>
      <c r="D61" s="9" t="s">
        <v>260</v>
      </c>
      <c r="E61" s="9">
        <v>100000</v>
      </c>
      <c r="F61" s="9">
        <v>150000</v>
      </c>
      <c r="G61" s="9"/>
      <c r="H61" s="9">
        <v>55000</v>
      </c>
      <c r="I61" s="9"/>
      <c r="J61" s="9">
        <v>305000</v>
      </c>
    </row>
    <row r="62" spans="1:10" x14ac:dyDescent="0.15">
      <c r="A62" s="12">
        <v>61</v>
      </c>
      <c r="B62" s="9" t="s">
        <v>221</v>
      </c>
      <c r="C62" s="9" t="s">
        <v>254</v>
      </c>
      <c r="D62" s="9" t="s">
        <v>260</v>
      </c>
      <c r="E62" s="9">
        <v>100000</v>
      </c>
      <c r="F62" s="9">
        <v>150000</v>
      </c>
      <c r="G62" s="9"/>
      <c r="H62" s="9">
        <v>55000</v>
      </c>
      <c r="I62" s="9"/>
      <c r="J62" s="9">
        <v>305000</v>
      </c>
    </row>
    <row r="63" spans="1:10" x14ac:dyDescent="0.15">
      <c r="A63" s="12">
        <v>62</v>
      </c>
      <c r="B63" s="9" t="s">
        <v>222</v>
      </c>
      <c r="C63" s="9" t="s">
        <v>255</v>
      </c>
      <c r="D63" s="9" t="s">
        <v>260</v>
      </c>
      <c r="E63" s="9">
        <v>100000</v>
      </c>
      <c r="F63" s="9">
        <v>150000</v>
      </c>
      <c r="G63" s="9"/>
      <c r="H63" s="9">
        <v>55000</v>
      </c>
      <c r="I63" s="9"/>
      <c r="J63" s="9">
        <v>305000</v>
      </c>
    </row>
    <row r="64" spans="1:10" x14ac:dyDescent="0.15">
      <c r="A64" s="12">
        <v>63</v>
      </c>
      <c r="B64" s="9" t="s">
        <v>223</v>
      </c>
      <c r="C64" s="9" t="s">
        <v>256</v>
      </c>
      <c r="D64" s="9" t="s">
        <v>260</v>
      </c>
      <c r="E64" s="9">
        <v>100000</v>
      </c>
      <c r="F64" s="9">
        <v>150000</v>
      </c>
      <c r="G64" s="9"/>
      <c r="H64" s="9">
        <v>55000</v>
      </c>
      <c r="I64" s="9"/>
      <c r="J64" s="9">
        <v>305000</v>
      </c>
    </row>
    <row r="65" spans="1:10" x14ac:dyDescent="0.15">
      <c r="A65" s="12">
        <v>64</v>
      </c>
      <c r="B65" s="9" t="s">
        <v>224</v>
      </c>
      <c r="C65" s="9" t="s">
        <v>257</v>
      </c>
      <c r="D65" s="9" t="s">
        <v>260</v>
      </c>
      <c r="E65" s="9">
        <v>100000</v>
      </c>
      <c r="F65" s="9">
        <v>150000</v>
      </c>
      <c r="G65" s="9"/>
      <c r="H65" s="9">
        <v>55000</v>
      </c>
      <c r="I65" s="9"/>
      <c r="J65" s="9">
        <v>305000</v>
      </c>
    </row>
    <row r="66" spans="1:10" x14ac:dyDescent="0.15">
      <c r="A66" s="12">
        <v>65</v>
      </c>
      <c r="B66" s="9" t="s">
        <v>225</v>
      </c>
      <c r="C66" s="9" t="s">
        <v>258</v>
      </c>
      <c r="D66" s="9" t="s">
        <v>260</v>
      </c>
      <c r="E66" s="9">
        <v>100000</v>
      </c>
      <c r="F66" s="9">
        <v>150000</v>
      </c>
      <c r="G66" s="9"/>
      <c r="H66" s="9">
        <v>55000</v>
      </c>
      <c r="I66" s="9"/>
      <c r="J66" s="9">
        <v>305000</v>
      </c>
    </row>
    <row r="67" spans="1:10" x14ac:dyDescent="0.15">
      <c r="A67" s="12">
        <v>66</v>
      </c>
      <c r="B67" s="9" t="s">
        <v>226</v>
      </c>
      <c r="C67" s="9" t="s">
        <v>259</v>
      </c>
      <c r="D67" s="9" t="s">
        <v>260</v>
      </c>
      <c r="E67" s="9">
        <v>100000</v>
      </c>
      <c r="F67" s="9">
        <v>150000</v>
      </c>
      <c r="G67" s="9"/>
      <c r="H67" s="9">
        <v>55000</v>
      </c>
      <c r="I67" s="9"/>
      <c r="J67" s="9">
        <v>305000</v>
      </c>
    </row>
    <row r="68" spans="1:10" x14ac:dyDescent="0.15">
      <c r="A68" s="12">
        <v>67</v>
      </c>
      <c r="B68" s="9" t="s">
        <v>261</v>
      </c>
      <c r="C68" s="9" t="s">
        <v>266</v>
      </c>
      <c r="D68" s="9" t="s">
        <v>271</v>
      </c>
      <c r="E68" s="9">
        <v>100000</v>
      </c>
      <c r="F68" s="9">
        <v>150000</v>
      </c>
      <c r="G68" s="9"/>
      <c r="H68" s="9">
        <v>55000</v>
      </c>
      <c r="I68" s="9"/>
      <c r="J68" s="9">
        <v>305000</v>
      </c>
    </row>
    <row r="69" spans="1:10" x14ac:dyDescent="0.15">
      <c r="A69" s="12">
        <v>68</v>
      </c>
      <c r="B69" s="9" t="s">
        <v>262</v>
      </c>
      <c r="C69" s="9" t="s">
        <v>267</v>
      </c>
      <c r="D69" s="9" t="s">
        <v>271</v>
      </c>
      <c r="E69" s="9">
        <v>100000</v>
      </c>
      <c r="F69" s="9">
        <v>150000</v>
      </c>
      <c r="G69" s="9"/>
      <c r="H69" s="9">
        <v>55000</v>
      </c>
      <c r="I69" s="9"/>
      <c r="J69" s="9">
        <v>305000</v>
      </c>
    </row>
    <row r="70" spans="1:10" x14ac:dyDescent="0.15">
      <c r="A70" s="12">
        <v>69</v>
      </c>
      <c r="B70" s="9" t="s">
        <v>263</v>
      </c>
      <c r="C70" s="9" t="s">
        <v>268</v>
      </c>
      <c r="D70" s="9" t="s">
        <v>271</v>
      </c>
      <c r="E70" s="9">
        <v>100000</v>
      </c>
      <c r="F70" s="9">
        <v>150000</v>
      </c>
      <c r="G70" s="9"/>
      <c r="H70" s="9">
        <v>55000</v>
      </c>
      <c r="I70" s="9"/>
      <c r="J70" s="9">
        <v>305000</v>
      </c>
    </row>
    <row r="71" spans="1:10" x14ac:dyDescent="0.15">
      <c r="A71" s="12">
        <v>70</v>
      </c>
      <c r="B71" s="9" t="s">
        <v>264</v>
      </c>
      <c r="C71" s="9" t="s">
        <v>269</v>
      </c>
      <c r="D71" s="9" t="s">
        <v>271</v>
      </c>
      <c r="E71" s="9">
        <v>100000</v>
      </c>
      <c r="F71" s="9">
        <v>150000</v>
      </c>
      <c r="G71" s="9"/>
      <c r="H71" s="9">
        <v>55000</v>
      </c>
      <c r="I71" s="9"/>
      <c r="J71" s="9">
        <v>305000</v>
      </c>
    </row>
    <row r="72" spans="1:10" x14ac:dyDescent="0.15">
      <c r="A72" s="12">
        <v>71</v>
      </c>
      <c r="B72" s="9" t="s">
        <v>265</v>
      </c>
      <c r="C72" s="9" t="s">
        <v>270</v>
      </c>
      <c r="D72" s="9" t="s">
        <v>271</v>
      </c>
      <c r="E72" s="9">
        <v>100000</v>
      </c>
      <c r="F72" s="9">
        <v>150000</v>
      </c>
      <c r="G72" s="9"/>
      <c r="H72" s="9">
        <v>55000</v>
      </c>
      <c r="I72" s="9"/>
      <c r="J72" s="9">
        <v>305000</v>
      </c>
    </row>
  </sheetData>
  <autoFilter ref="A1:J72" xr:uid="{CF3132BF-0158-414C-BE28-81B8E8E0497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opLeftCell="A11" workbookViewId="0">
      <selection activeCell="A2" sqref="A2:K39"/>
    </sheetView>
  </sheetViews>
  <sheetFormatPr baseColWidth="10" defaultColWidth="8.83203125" defaultRowHeight="13" x14ac:dyDescent="0.15"/>
  <cols>
    <col min="1" max="1" width="5.6640625" bestFit="1" customWidth="1"/>
    <col min="2" max="2" width="14.33203125" bestFit="1" customWidth="1"/>
    <col min="3" max="3" width="21.1640625" bestFit="1" customWidth="1"/>
    <col min="4" max="4" width="6.5" bestFit="1" customWidth="1"/>
    <col min="5" max="5" width="13.5" bestFit="1" customWidth="1"/>
    <col min="6" max="6" width="15.1640625" bestFit="1" customWidth="1"/>
    <col min="7" max="7" width="18.33203125" bestFit="1" customWidth="1"/>
    <col min="8" max="9" width="13.83203125" bestFit="1" customWidth="1"/>
    <col min="10" max="10" width="8.6640625" bestFit="1" customWidth="1"/>
    <col min="11" max="11" width="10.5" bestFit="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120</v>
      </c>
      <c r="E1" s="1" t="s">
        <v>3</v>
      </c>
      <c r="F1" s="4" t="s">
        <v>119</v>
      </c>
      <c r="G1" s="4" t="s">
        <v>126</v>
      </c>
      <c r="H1" s="4" t="s">
        <v>124</v>
      </c>
      <c r="I1" s="4" t="s">
        <v>125</v>
      </c>
      <c r="J1" s="4" t="s">
        <v>122</v>
      </c>
      <c r="K1" s="1" t="s">
        <v>4</v>
      </c>
    </row>
    <row r="2" spans="1:11" ht="16" x14ac:dyDescent="0.15">
      <c r="A2" s="5" t="s">
        <v>5</v>
      </c>
      <c r="B2" s="2" t="s">
        <v>45</v>
      </c>
      <c r="C2" s="3" t="s">
        <v>46</v>
      </c>
      <c r="D2" s="3" t="s">
        <v>123</v>
      </c>
      <c r="E2" s="6">
        <f>100000*3</f>
        <v>300000</v>
      </c>
      <c r="F2" s="7"/>
      <c r="G2" s="7"/>
      <c r="H2" s="7"/>
      <c r="I2" s="7"/>
      <c r="J2" s="7" t="s">
        <v>121</v>
      </c>
      <c r="K2" s="6">
        <f t="shared" ref="K2:K39" si="0">E2+F2+G2</f>
        <v>300000</v>
      </c>
    </row>
    <row r="3" spans="1:11" ht="16" x14ac:dyDescent="0.15">
      <c r="A3" s="5" t="s">
        <v>6</v>
      </c>
      <c r="B3" s="2" t="s">
        <v>47</v>
      </c>
      <c r="C3" s="3" t="s">
        <v>48</v>
      </c>
      <c r="D3" s="3" t="s">
        <v>123</v>
      </c>
      <c r="E3" s="6">
        <f>100000*3</f>
        <v>300000</v>
      </c>
      <c r="F3" s="7"/>
      <c r="G3" s="7">
        <v>540000</v>
      </c>
      <c r="H3" s="7"/>
      <c r="I3" s="7"/>
      <c r="J3" s="7" t="s">
        <v>121</v>
      </c>
      <c r="K3" s="6">
        <f t="shared" si="0"/>
        <v>840000</v>
      </c>
    </row>
    <row r="4" spans="1:11" ht="16" x14ac:dyDescent="0.15">
      <c r="A4" s="5" t="s">
        <v>7</v>
      </c>
      <c r="B4" s="2" t="s">
        <v>49</v>
      </c>
      <c r="C4" s="3" t="s">
        <v>50</v>
      </c>
      <c r="D4" s="3" t="s">
        <v>123</v>
      </c>
      <c r="E4" s="6">
        <f>100000*3</f>
        <v>300000</v>
      </c>
      <c r="F4" s="7"/>
      <c r="G4" s="7"/>
      <c r="H4" s="7"/>
      <c r="I4" s="7"/>
      <c r="J4" s="7" t="s">
        <v>121</v>
      </c>
      <c r="K4" s="6">
        <f t="shared" si="0"/>
        <v>300000</v>
      </c>
    </row>
    <row r="5" spans="1:11" ht="16" x14ac:dyDescent="0.15">
      <c r="A5" s="5" t="s">
        <v>8</v>
      </c>
      <c r="B5" s="2" t="s">
        <v>51</v>
      </c>
      <c r="C5" s="3" t="s">
        <v>52</v>
      </c>
      <c r="D5" s="3" t="s">
        <v>123</v>
      </c>
      <c r="E5" s="6">
        <f>3*50000</f>
        <v>150000</v>
      </c>
      <c r="F5" s="7"/>
      <c r="G5" s="7">
        <v>495000</v>
      </c>
      <c r="H5" s="7"/>
      <c r="I5" s="7"/>
      <c r="J5" s="7" t="s">
        <v>121</v>
      </c>
      <c r="K5" s="6">
        <f t="shared" si="0"/>
        <v>645000</v>
      </c>
    </row>
    <row r="6" spans="1:11" ht="16" x14ac:dyDescent="0.15">
      <c r="A6" s="5" t="s">
        <v>9</v>
      </c>
      <c r="B6" s="2" t="s">
        <v>53</v>
      </c>
      <c r="C6" s="3" t="s">
        <v>54</v>
      </c>
      <c r="D6" s="3" t="s">
        <v>123</v>
      </c>
      <c r="E6" s="6">
        <v>300000</v>
      </c>
      <c r="F6" s="7"/>
      <c r="G6" s="7"/>
      <c r="H6" s="7"/>
      <c r="I6" s="7"/>
      <c r="J6" s="7" t="s">
        <v>121</v>
      </c>
      <c r="K6" s="6">
        <f t="shared" si="0"/>
        <v>300000</v>
      </c>
    </row>
    <row r="7" spans="1:11" ht="16" x14ac:dyDescent="0.15">
      <c r="A7" s="5" t="s">
        <v>10</v>
      </c>
      <c r="B7" s="2" t="s">
        <v>55</v>
      </c>
      <c r="C7" s="3" t="s">
        <v>56</v>
      </c>
      <c r="D7" s="3" t="s">
        <v>123</v>
      </c>
      <c r="E7" s="6">
        <v>300000</v>
      </c>
      <c r="F7" s="7"/>
      <c r="G7" s="7"/>
      <c r="H7" s="7"/>
      <c r="I7" s="7"/>
      <c r="J7" s="7" t="s">
        <v>121</v>
      </c>
      <c r="K7" s="6">
        <f t="shared" si="0"/>
        <v>300000</v>
      </c>
    </row>
    <row r="8" spans="1:11" ht="16" x14ac:dyDescent="0.15">
      <c r="A8" s="5" t="s">
        <v>11</v>
      </c>
      <c r="B8" s="2" t="s">
        <v>57</v>
      </c>
      <c r="C8" s="3" t="s">
        <v>58</v>
      </c>
      <c r="D8" s="3" t="s">
        <v>123</v>
      </c>
      <c r="E8" s="6">
        <v>300000</v>
      </c>
      <c r="F8" s="7"/>
      <c r="G8" s="7"/>
      <c r="H8" s="7"/>
      <c r="I8" s="7"/>
      <c r="J8" s="7" t="s">
        <v>121</v>
      </c>
      <c r="K8" s="6">
        <f t="shared" si="0"/>
        <v>300000</v>
      </c>
    </row>
    <row r="9" spans="1:11" ht="16" x14ac:dyDescent="0.15">
      <c r="A9" s="5" t="s">
        <v>12</v>
      </c>
      <c r="B9" s="2" t="s">
        <v>59</v>
      </c>
      <c r="C9" s="3" t="s">
        <v>60</v>
      </c>
      <c r="D9" s="3" t="s">
        <v>123</v>
      </c>
      <c r="E9" s="6">
        <v>300000</v>
      </c>
      <c r="F9" s="7"/>
      <c r="G9" s="7"/>
      <c r="H9" s="7"/>
      <c r="I9" s="7"/>
      <c r="J9" s="7" t="s">
        <v>121</v>
      </c>
      <c r="K9" s="6">
        <f t="shared" si="0"/>
        <v>300000</v>
      </c>
    </row>
    <row r="10" spans="1:11" ht="16" x14ac:dyDescent="0.15">
      <c r="A10" s="5" t="s">
        <v>13</v>
      </c>
      <c r="B10" s="2" t="s">
        <v>61</v>
      </c>
      <c r="C10" s="3" t="s">
        <v>62</v>
      </c>
      <c r="D10" s="3" t="s">
        <v>123</v>
      </c>
      <c r="E10" s="6">
        <v>300000</v>
      </c>
      <c r="F10" s="7"/>
      <c r="G10" s="7">
        <v>540000</v>
      </c>
      <c r="H10" s="7"/>
      <c r="I10" s="7"/>
      <c r="J10" s="7" t="s">
        <v>121</v>
      </c>
      <c r="K10" s="6">
        <f t="shared" si="0"/>
        <v>840000</v>
      </c>
    </row>
    <row r="11" spans="1:11" ht="16" x14ac:dyDescent="0.15">
      <c r="A11" s="5" t="s">
        <v>14</v>
      </c>
      <c r="B11" s="2" t="s">
        <v>63</v>
      </c>
      <c r="C11" s="3" t="s">
        <v>64</v>
      </c>
      <c r="D11" s="3" t="s">
        <v>123</v>
      </c>
      <c r="E11" s="6">
        <v>300000</v>
      </c>
      <c r="F11" s="7"/>
      <c r="G11" s="7">
        <v>360000</v>
      </c>
      <c r="H11" s="7"/>
      <c r="I11" s="7"/>
      <c r="J11" s="7" t="s">
        <v>121</v>
      </c>
      <c r="K11" s="6">
        <f t="shared" si="0"/>
        <v>660000</v>
      </c>
    </row>
    <row r="12" spans="1:11" ht="16" x14ac:dyDescent="0.15">
      <c r="A12" s="5" t="s">
        <v>15</v>
      </c>
      <c r="B12" s="2" t="s">
        <v>65</v>
      </c>
      <c r="C12" s="3" t="s">
        <v>66</v>
      </c>
      <c r="D12" s="3" t="s">
        <v>123</v>
      </c>
      <c r="E12" s="6">
        <v>200000</v>
      </c>
      <c r="F12" s="7"/>
      <c r="G12" s="7"/>
      <c r="H12" s="7"/>
      <c r="I12" s="7"/>
      <c r="J12" s="7" t="s">
        <v>121</v>
      </c>
      <c r="K12" s="6">
        <f t="shared" si="0"/>
        <v>200000</v>
      </c>
    </row>
    <row r="13" spans="1:11" ht="16" x14ac:dyDescent="0.15">
      <c r="A13" s="5" t="s">
        <v>16</v>
      </c>
      <c r="B13" s="2" t="s">
        <v>67</v>
      </c>
      <c r="C13" s="3" t="s">
        <v>68</v>
      </c>
      <c r="D13" s="3" t="s">
        <v>123</v>
      </c>
      <c r="E13" s="6">
        <v>300000</v>
      </c>
      <c r="F13" s="7"/>
      <c r="G13" s="7"/>
      <c r="H13" s="7"/>
      <c r="I13" s="7"/>
      <c r="J13" s="7" t="s">
        <v>121</v>
      </c>
      <c r="K13" s="6">
        <f t="shared" si="0"/>
        <v>300000</v>
      </c>
    </row>
    <row r="14" spans="1:11" ht="16" x14ac:dyDescent="0.15">
      <c r="A14" s="5" t="s">
        <v>17</v>
      </c>
      <c r="B14" s="2" t="s">
        <v>69</v>
      </c>
      <c r="C14" s="3" t="s">
        <v>70</v>
      </c>
      <c r="D14" s="3" t="s">
        <v>123</v>
      </c>
      <c r="E14" s="6">
        <v>100000</v>
      </c>
      <c r="F14" s="7"/>
      <c r="G14" s="7"/>
      <c r="H14" s="7"/>
      <c r="I14" s="7"/>
      <c r="J14" s="7" t="s">
        <v>121</v>
      </c>
      <c r="K14" s="6">
        <f t="shared" si="0"/>
        <v>100000</v>
      </c>
    </row>
    <row r="15" spans="1:11" ht="16" x14ac:dyDescent="0.15">
      <c r="A15" s="5" t="s">
        <v>18</v>
      </c>
      <c r="B15" s="2" t="s">
        <v>71</v>
      </c>
      <c r="C15" s="3" t="s">
        <v>72</v>
      </c>
      <c r="D15" s="3" t="s">
        <v>123</v>
      </c>
      <c r="E15" s="6">
        <v>300000</v>
      </c>
      <c r="F15" s="7"/>
      <c r="G15" s="7"/>
      <c r="H15" s="7"/>
      <c r="I15" s="7"/>
      <c r="J15" s="7" t="s">
        <v>121</v>
      </c>
      <c r="K15" s="6">
        <f t="shared" si="0"/>
        <v>300000</v>
      </c>
    </row>
    <row r="16" spans="1:11" ht="16" x14ac:dyDescent="0.15">
      <c r="A16" s="5" t="s">
        <v>19</v>
      </c>
      <c r="B16" s="2" t="s">
        <v>73</v>
      </c>
      <c r="C16" s="3" t="s">
        <v>74</v>
      </c>
      <c r="D16" s="3" t="s">
        <v>123</v>
      </c>
      <c r="E16" s="6">
        <v>300000</v>
      </c>
      <c r="F16" s="7"/>
      <c r="G16" s="7"/>
      <c r="H16" s="7"/>
      <c r="I16" s="7"/>
      <c r="J16" s="7" t="s">
        <v>121</v>
      </c>
      <c r="K16" s="6">
        <f t="shared" si="0"/>
        <v>300000</v>
      </c>
    </row>
    <row r="17" spans="1:11" ht="16" x14ac:dyDescent="0.15">
      <c r="A17" s="5" t="s">
        <v>20</v>
      </c>
      <c r="B17" s="2" t="s">
        <v>75</v>
      </c>
      <c r="C17" s="3" t="s">
        <v>76</v>
      </c>
      <c r="D17" s="3" t="s">
        <v>123</v>
      </c>
      <c r="E17" s="6">
        <v>300000</v>
      </c>
      <c r="F17" s="7"/>
      <c r="G17" s="7">
        <v>540000</v>
      </c>
      <c r="H17" s="7"/>
      <c r="I17" s="7"/>
      <c r="J17" s="7" t="s">
        <v>121</v>
      </c>
      <c r="K17" s="6">
        <f t="shared" si="0"/>
        <v>840000</v>
      </c>
    </row>
    <row r="18" spans="1:11" ht="16" x14ac:dyDescent="0.15">
      <c r="A18" s="5" t="s">
        <v>21</v>
      </c>
      <c r="B18" s="2" t="s">
        <v>77</v>
      </c>
      <c r="C18" s="3" t="s">
        <v>78</v>
      </c>
      <c r="D18" s="3" t="s">
        <v>123</v>
      </c>
      <c r="E18" s="6">
        <v>300000</v>
      </c>
      <c r="F18" s="7"/>
      <c r="G18" s="7"/>
      <c r="H18" s="7"/>
      <c r="I18" s="7"/>
      <c r="J18" s="7" t="s">
        <v>121</v>
      </c>
      <c r="K18" s="6">
        <f t="shared" si="0"/>
        <v>300000</v>
      </c>
    </row>
    <row r="19" spans="1:11" ht="16" x14ac:dyDescent="0.15">
      <c r="A19" s="5" t="s">
        <v>22</v>
      </c>
      <c r="B19" s="2" t="s">
        <v>79</v>
      </c>
      <c r="C19" s="3" t="s">
        <v>80</v>
      </c>
      <c r="D19" s="3" t="s">
        <v>123</v>
      </c>
      <c r="E19" s="6">
        <v>300000</v>
      </c>
      <c r="F19" s="7"/>
      <c r="G19" s="7"/>
      <c r="H19" s="7"/>
      <c r="I19" s="7"/>
      <c r="J19" s="7" t="s">
        <v>121</v>
      </c>
      <c r="K19" s="6">
        <f t="shared" si="0"/>
        <v>300000</v>
      </c>
    </row>
    <row r="20" spans="1:11" ht="16" x14ac:dyDescent="0.15">
      <c r="A20" s="5" t="s">
        <v>23</v>
      </c>
      <c r="B20" s="2" t="s">
        <v>81</v>
      </c>
      <c r="C20" s="3" t="s">
        <v>82</v>
      </c>
      <c r="D20" s="3" t="s">
        <v>123</v>
      </c>
      <c r="E20" s="6">
        <v>300000</v>
      </c>
      <c r="F20" s="7"/>
      <c r="G20" s="7"/>
      <c r="H20" s="7"/>
      <c r="I20" s="7"/>
      <c r="J20" s="7" t="s">
        <v>121</v>
      </c>
      <c r="K20" s="6">
        <f t="shared" si="0"/>
        <v>300000</v>
      </c>
    </row>
    <row r="21" spans="1:11" ht="16" x14ac:dyDescent="0.15">
      <c r="A21" s="5" t="s">
        <v>24</v>
      </c>
      <c r="B21" s="2" t="s">
        <v>83</v>
      </c>
      <c r="C21" s="3" t="s">
        <v>84</v>
      </c>
      <c r="D21" s="3" t="s">
        <v>123</v>
      </c>
      <c r="E21" s="6">
        <v>300000</v>
      </c>
      <c r="F21" s="7"/>
      <c r="G21" s="7"/>
      <c r="H21" s="7"/>
      <c r="I21" s="7"/>
      <c r="J21" s="7" t="s">
        <v>121</v>
      </c>
      <c r="K21" s="6">
        <f t="shared" si="0"/>
        <v>300000</v>
      </c>
    </row>
    <row r="22" spans="1:11" ht="16" x14ac:dyDescent="0.15">
      <c r="A22" s="5" t="s">
        <v>25</v>
      </c>
      <c r="B22" s="2" t="s">
        <v>85</v>
      </c>
      <c r="C22" s="3" t="s">
        <v>86</v>
      </c>
      <c r="D22" s="3" t="s">
        <v>123</v>
      </c>
      <c r="E22" s="6">
        <v>300000</v>
      </c>
      <c r="F22" s="7"/>
      <c r="G22" s="7">
        <v>180000</v>
      </c>
      <c r="H22" s="7"/>
      <c r="I22" s="7"/>
      <c r="J22" s="7" t="s">
        <v>121</v>
      </c>
      <c r="K22" s="6">
        <f t="shared" si="0"/>
        <v>480000</v>
      </c>
    </row>
    <row r="23" spans="1:11" ht="16" x14ac:dyDescent="0.15">
      <c r="A23" s="5" t="s">
        <v>26</v>
      </c>
      <c r="B23" s="2" t="s">
        <v>87</v>
      </c>
      <c r="C23" s="3" t="s">
        <v>88</v>
      </c>
      <c r="D23" s="3" t="s">
        <v>123</v>
      </c>
      <c r="E23" s="6">
        <v>300000</v>
      </c>
      <c r="F23" s="7"/>
      <c r="G23" s="7"/>
      <c r="H23" s="7"/>
      <c r="I23" s="7"/>
      <c r="J23" s="7" t="s">
        <v>121</v>
      </c>
      <c r="K23" s="6">
        <f t="shared" si="0"/>
        <v>300000</v>
      </c>
    </row>
    <row r="24" spans="1:11" ht="16" x14ac:dyDescent="0.15">
      <c r="A24" s="5" t="s">
        <v>27</v>
      </c>
      <c r="B24" s="2" t="s">
        <v>89</v>
      </c>
      <c r="C24" s="3" t="s">
        <v>90</v>
      </c>
      <c r="D24" s="3" t="s">
        <v>123</v>
      </c>
      <c r="E24" s="6">
        <v>300000</v>
      </c>
      <c r="F24" s="7"/>
      <c r="G24" s="7"/>
      <c r="H24" s="7"/>
      <c r="I24" s="7"/>
      <c r="J24" s="7" t="s">
        <v>121</v>
      </c>
      <c r="K24" s="6">
        <f t="shared" si="0"/>
        <v>300000</v>
      </c>
    </row>
    <row r="25" spans="1:11" ht="16" x14ac:dyDescent="0.15">
      <c r="A25" s="5" t="s">
        <v>28</v>
      </c>
      <c r="B25" s="2" t="s">
        <v>91</v>
      </c>
      <c r="C25" s="3" t="s">
        <v>40</v>
      </c>
      <c r="D25" s="3" t="s">
        <v>123</v>
      </c>
      <c r="E25" s="6">
        <v>300000</v>
      </c>
      <c r="F25" s="7"/>
      <c r="G25" s="7"/>
      <c r="H25" s="7"/>
      <c r="I25" s="7"/>
      <c r="J25" s="7" t="s">
        <v>121</v>
      </c>
      <c r="K25" s="6">
        <f t="shared" si="0"/>
        <v>300000</v>
      </c>
    </row>
    <row r="26" spans="1:11" ht="16" x14ac:dyDescent="0.15">
      <c r="A26" s="5" t="s">
        <v>29</v>
      </c>
      <c r="B26" s="2" t="s">
        <v>92</v>
      </c>
      <c r="C26" s="3" t="s">
        <v>93</v>
      </c>
      <c r="D26" s="3" t="s">
        <v>123</v>
      </c>
      <c r="E26" s="6">
        <v>300000</v>
      </c>
      <c r="F26" s="7"/>
      <c r="G26" s="7"/>
      <c r="H26" s="7"/>
      <c r="I26" s="7"/>
      <c r="J26" s="7" t="s">
        <v>121</v>
      </c>
      <c r="K26" s="6">
        <f t="shared" si="0"/>
        <v>300000</v>
      </c>
    </row>
    <row r="27" spans="1:11" ht="16" x14ac:dyDescent="0.15">
      <c r="A27" s="5" t="s">
        <v>30</v>
      </c>
      <c r="B27" s="2" t="s">
        <v>94</v>
      </c>
      <c r="C27" s="3" t="s">
        <v>39</v>
      </c>
      <c r="D27" s="3" t="s">
        <v>123</v>
      </c>
      <c r="E27" s="6">
        <v>300000</v>
      </c>
      <c r="F27" s="7"/>
      <c r="G27" s="7"/>
      <c r="H27" s="7"/>
      <c r="I27" s="7"/>
      <c r="J27" s="7" t="s">
        <v>121</v>
      </c>
      <c r="K27" s="6">
        <f t="shared" si="0"/>
        <v>300000</v>
      </c>
    </row>
    <row r="28" spans="1:11" ht="16" x14ac:dyDescent="0.15">
      <c r="A28" s="5" t="s">
        <v>31</v>
      </c>
      <c r="B28" s="2" t="s">
        <v>95</v>
      </c>
      <c r="C28" s="3" t="s">
        <v>96</v>
      </c>
      <c r="D28" s="3" t="s">
        <v>123</v>
      </c>
      <c r="E28" s="6">
        <v>300000</v>
      </c>
      <c r="F28" s="7"/>
      <c r="G28" s="7"/>
      <c r="H28" s="7"/>
      <c r="I28" s="7"/>
      <c r="J28" s="7" t="s">
        <v>121</v>
      </c>
      <c r="K28" s="6">
        <f t="shared" si="0"/>
        <v>300000</v>
      </c>
    </row>
    <row r="29" spans="1:11" ht="16" x14ac:dyDescent="0.15">
      <c r="A29" s="5" t="s">
        <v>32</v>
      </c>
      <c r="B29" s="2" t="s">
        <v>97</v>
      </c>
      <c r="C29" s="3" t="s">
        <v>98</v>
      </c>
      <c r="D29" s="3" t="s">
        <v>123</v>
      </c>
      <c r="E29" s="6">
        <v>300000</v>
      </c>
      <c r="F29" s="7"/>
      <c r="G29" s="7"/>
      <c r="H29" s="7"/>
      <c r="I29" s="7"/>
      <c r="J29" s="7" t="s">
        <v>121</v>
      </c>
      <c r="K29" s="6">
        <f t="shared" si="0"/>
        <v>300000</v>
      </c>
    </row>
    <row r="30" spans="1:11" ht="16" x14ac:dyDescent="0.15">
      <c r="A30" s="5" t="s">
        <v>33</v>
      </c>
      <c r="B30" s="2" t="s">
        <v>99</v>
      </c>
      <c r="C30" s="3" t="s">
        <v>100</v>
      </c>
      <c r="D30" s="3" t="s">
        <v>123</v>
      </c>
      <c r="E30" s="6">
        <v>300000</v>
      </c>
      <c r="F30" s="7"/>
      <c r="G30" s="7">
        <f>180000+315000</f>
        <v>495000</v>
      </c>
      <c r="H30" s="7"/>
      <c r="I30" s="7"/>
      <c r="J30" s="7" t="s">
        <v>121</v>
      </c>
      <c r="K30" s="6">
        <f t="shared" si="0"/>
        <v>795000</v>
      </c>
    </row>
    <row r="31" spans="1:11" ht="16" x14ac:dyDescent="0.15">
      <c r="A31" s="5" t="s">
        <v>34</v>
      </c>
      <c r="B31" s="2" t="s">
        <v>101</v>
      </c>
      <c r="C31" s="3" t="s">
        <v>102</v>
      </c>
      <c r="D31" s="3" t="s">
        <v>123</v>
      </c>
      <c r="E31" s="6">
        <v>300000</v>
      </c>
      <c r="F31" s="7"/>
      <c r="G31" s="7"/>
      <c r="H31" s="7"/>
      <c r="I31" s="7"/>
      <c r="J31" s="7" t="s">
        <v>121</v>
      </c>
      <c r="K31" s="6">
        <f t="shared" si="0"/>
        <v>300000</v>
      </c>
    </row>
    <row r="32" spans="1:11" ht="16" x14ac:dyDescent="0.15">
      <c r="A32" s="5" t="s">
        <v>35</v>
      </c>
      <c r="B32" s="2" t="s">
        <v>103</v>
      </c>
      <c r="C32" s="3" t="s">
        <v>104</v>
      </c>
      <c r="D32" s="3" t="s">
        <v>123</v>
      </c>
      <c r="E32" s="6">
        <v>300000</v>
      </c>
      <c r="F32" s="7"/>
      <c r="G32" s="7">
        <f>540000+315000</f>
        <v>855000</v>
      </c>
      <c r="H32" s="7"/>
      <c r="I32" s="7"/>
      <c r="J32" s="7" t="s">
        <v>121</v>
      </c>
      <c r="K32" s="6">
        <f t="shared" si="0"/>
        <v>1155000</v>
      </c>
    </row>
    <row r="33" spans="1:11" ht="16" x14ac:dyDescent="0.15">
      <c r="A33" s="5" t="s">
        <v>36</v>
      </c>
      <c r="B33" s="2" t="s">
        <v>105</v>
      </c>
      <c r="C33" s="3" t="s">
        <v>106</v>
      </c>
      <c r="D33" s="3" t="s">
        <v>123</v>
      </c>
      <c r="E33" s="6">
        <v>300000</v>
      </c>
      <c r="F33" s="7"/>
      <c r="G33" s="7"/>
      <c r="H33" s="7"/>
      <c r="I33" s="7"/>
      <c r="J33" s="7" t="s">
        <v>121</v>
      </c>
      <c r="K33" s="6">
        <f t="shared" si="0"/>
        <v>300000</v>
      </c>
    </row>
    <row r="34" spans="1:11" ht="16" x14ac:dyDescent="0.15">
      <c r="A34" s="5" t="s">
        <v>37</v>
      </c>
      <c r="B34" s="2" t="s">
        <v>107</v>
      </c>
      <c r="C34" s="3" t="s">
        <v>108</v>
      </c>
      <c r="D34" s="3" t="s">
        <v>123</v>
      </c>
      <c r="E34" s="6">
        <v>300000</v>
      </c>
      <c r="F34" s="7"/>
      <c r="G34" s="7"/>
      <c r="H34" s="7"/>
      <c r="I34" s="7"/>
      <c r="J34" s="7" t="s">
        <v>121</v>
      </c>
      <c r="K34" s="6">
        <f t="shared" si="0"/>
        <v>300000</v>
      </c>
    </row>
    <row r="35" spans="1:11" ht="16" x14ac:dyDescent="0.15">
      <c r="A35" s="5" t="s">
        <v>38</v>
      </c>
      <c r="B35" s="2" t="s">
        <v>109</v>
      </c>
      <c r="C35" s="3" t="s">
        <v>110</v>
      </c>
      <c r="D35" s="3" t="s">
        <v>123</v>
      </c>
      <c r="E35" s="6">
        <v>300000</v>
      </c>
      <c r="F35" s="7"/>
      <c r="G35" s="7"/>
      <c r="H35" s="7"/>
      <c r="I35" s="7"/>
      <c r="J35" s="7" t="s">
        <v>121</v>
      </c>
      <c r="K35" s="6">
        <f t="shared" si="0"/>
        <v>300000</v>
      </c>
    </row>
    <row r="36" spans="1:11" ht="16" x14ac:dyDescent="0.15">
      <c r="A36" s="5" t="s">
        <v>41</v>
      </c>
      <c r="B36" s="2" t="s">
        <v>111</v>
      </c>
      <c r="C36" s="3" t="s">
        <v>112</v>
      </c>
      <c r="D36" s="3" t="s">
        <v>123</v>
      </c>
      <c r="E36" s="6">
        <v>300000</v>
      </c>
      <c r="F36" s="7"/>
      <c r="G36" s="7">
        <f>360000+180000</f>
        <v>540000</v>
      </c>
      <c r="H36" s="7"/>
      <c r="I36" s="7"/>
      <c r="J36" s="7" t="s">
        <v>121</v>
      </c>
      <c r="K36" s="6">
        <f t="shared" si="0"/>
        <v>840000</v>
      </c>
    </row>
    <row r="37" spans="1:11" ht="16" x14ac:dyDescent="0.15">
      <c r="A37" s="5" t="s">
        <v>42</v>
      </c>
      <c r="B37" s="2" t="s">
        <v>113</v>
      </c>
      <c r="C37" s="3" t="s">
        <v>114</v>
      </c>
      <c r="D37" s="3" t="s">
        <v>123</v>
      </c>
      <c r="E37" s="6">
        <v>300000</v>
      </c>
      <c r="F37" s="7"/>
      <c r="G37" s="7">
        <v>540000</v>
      </c>
      <c r="H37" s="7"/>
      <c r="I37" s="7"/>
      <c r="J37" s="7" t="s">
        <v>121</v>
      </c>
      <c r="K37" s="6">
        <f t="shared" si="0"/>
        <v>840000</v>
      </c>
    </row>
    <row r="38" spans="1:11" ht="16" x14ac:dyDescent="0.15">
      <c r="A38" s="5" t="s">
        <v>43</v>
      </c>
      <c r="B38" s="2" t="s">
        <v>115</v>
      </c>
      <c r="C38" s="3" t="s">
        <v>116</v>
      </c>
      <c r="D38" s="3" t="s">
        <v>123</v>
      </c>
      <c r="E38" s="6">
        <v>300000</v>
      </c>
      <c r="F38" s="7"/>
      <c r="G38" s="7"/>
      <c r="H38" s="7"/>
      <c r="I38" s="7"/>
      <c r="J38" s="7" t="s">
        <v>121</v>
      </c>
      <c r="K38" s="6">
        <f t="shared" si="0"/>
        <v>300000</v>
      </c>
    </row>
    <row r="39" spans="1:11" ht="16" x14ac:dyDescent="0.15">
      <c r="A39" s="5" t="s">
        <v>44</v>
      </c>
      <c r="B39" s="2" t="s">
        <v>117</v>
      </c>
      <c r="C39" s="3" t="s">
        <v>118</v>
      </c>
      <c r="D39" s="3" t="s">
        <v>123</v>
      </c>
      <c r="E39" s="6">
        <v>300000</v>
      </c>
      <c r="F39" s="7"/>
      <c r="G39" s="7"/>
      <c r="H39" s="7"/>
      <c r="I39" s="7"/>
      <c r="J39" s="7" t="s">
        <v>121</v>
      </c>
      <c r="K39" s="6">
        <f t="shared" si="0"/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Lớp 5B</vt:lpstr>
    </vt:vector>
  </TitlesOfParts>
  <Company>Stimulsoft Reports 2016.3.0 from 7 December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thu tiền</dc:title>
  <dc:subject>Danh sách thu tiền</dc:subject>
  <dc:creator>Ketoan</dc:creator>
  <dc:description/>
  <cp:lastModifiedBy>Microsoft Office User</cp:lastModifiedBy>
  <cp:lastPrinted>2024-03-28T07:56:42Z</cp:lastPrinted>
  <dcterms:created xsi:type="dcterms:W3CDTF">2024-03-25T15:33:27Z</dcterms:created>
  <dcterms:modified xsi:type="dcterms:W3CDTF">2024-07-10T15:44:28Z</dcterms:modified>
</cp:coreProperties>
</file>